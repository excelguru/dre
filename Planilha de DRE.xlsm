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EVERT RAMOS\planilhas_gerais\dre\"/>
    </mc:Choice>
  </mc:AlternateContent>
  <bookViews>
    <workbookView xWindow="0" yWindow="0" windowWidth="12060" windowHeight="11745" tabRatio="715"/>
  </bookViews>
  <sheets>
    <sheet name="Ações" sheetId="1" r:id="rId1"/>
    <sheet name="DRE - Trimestral" sheetId="9" r:id="rId2"/>
    <sheet name="DRE - Trimestral Acumulado" sheetId="12" r:id="rId3"/>
    <sheet name="BASE - Atual" sheetId="7" r:id="rId4"/>
    <sheet name="BASE - Anterior" sheetId="10" r:id="rId5"/>
    <sheet name="Classificação Contas - DRE" sheetId="4" r:id="rId6"/>
    <sheet name="Tabela Auxiliar" sheetId="5" r:id="rId7"/>
    <sheet name="Temp" sheetId="8" r:id="rId8"/>
  </sheets>
  <functionGroups builtInGroupCount="18"/>
  <definedNames>
    <definedName name="ANO">'DRE - Trimestral'!$B$5</definedName>
    <definedName name="ANO_ACUM">'DRE - Trimestral Acumulado'!$B$5</definedName>
    <definedName name="_xlnm.Print_Area" localSheetId="1">'DRE - Trimestral'!$D:$H</definedName>
    <definedName name="_xlnm.Print_Area" localSheetId="2">'DRE - Trimestral Acumulado'!$D:$H</definedName>
    <definedName name="COMPLEMENTO">'DRE - Trimestral'!$B$8</definedName>
    <definedName name="COMPLEMENTO_ACUM">'DRE - Trimestral Acumulado'!$B$8</definedName>
    <definedName name="ESPACO">'DRE - Trimestral'!$C$8</definedName>
    <definedName name="ESPACO_ACUM">'DRE - Trimestral Acumulado'!$C$8</definedName>
    <definedName name="lst_DescDRE">tb_DescDRE[CLASSIFICAÇÃO DE DRE]</definedName>
    <definedName name="lst_Mes">tb_Mes[MESES]</definedName>
    <definedName name="lst_Trimestre">tb_Trimestre[TRIMESTRE]</definedName>
    <definedName name="PERIODO">'DRE - Trimestral'!$B$2</definedName>
    <definedName name="PERIODO_ACUM">'DRE - Trimestral Acumulado'!$B$2</definedName>
    <definedName name="TRIMESTRE_1">'Tabela Auxiliar'!$E$2</definedName>
    <definedName name="TRIMESTRE_2">'Tabela Auxiliar'!$E$3</definedName>
    <definedName name="TRIMESTRE_3">'Tabela Auxiliar'!$E$4</definedName>
    <definedName name="TRIMESTRE_4">'Tabela Auxiliar'!$E$5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S2" i="10"/>
  <c r="S3" i="10"/>
  <c r="S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R2" i="10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Q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P2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O257" i="4" l="1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L257" i="4"/>
  <c r="L256" i="4"/>
  <c r="L255" i="4"/>
  <c r="L254" i="4"/>
  <c r="L253" i="4"/>
  <c r="L252" i="4"/>
  <c r="L251" i="4"/>
  <c r="L250" i="4"/>
  <c r="L249" i="4"/>
  <c r="L248" i="4"/>
  <c r="L247" i="4"/>
  <c r="L246" i="4"/>
  <c r="L245" i="4"/>
  <c r="L244" i="4"/>
  <c r="L243" i="4"/>
  <c r="L242" i="4"/>
  <c r="L241" i="4"/>
  <c r="L240" i="4"/>
  <c r="L239" i="4"/>
  <c r="L238" i="4"/>
  <c r="L237" i="4"/>
  <c r="L236" i="4"/>
  <c r="L235" i="4"/>
  <c r="L234" i="4"/>
  <c r="L233" i="4"/>
  <c r="L232" i="4"/>
  <c r="L231" i="4"/>
  <c r="L230" i="4"/>
  <c r="L229" i="4"/>
  <c r="L228" i="4"/>
  <c r="L227" i="4"/>
  <c r="L226" i="4"/>
  <c r="L225" i="4"/>
  <c r="L224" i="4"/>
  <c r="L223" i="4"/>
  <c r="L222" i="4"/>
  <c r="L221" i="4"/>
  <c r="L220" i="4"/>
  <c r="L219" i="4"/>
  <c r="L218" i="4"/>
  <c r="L217" i="4"/>
  <c r="L216" i="4"/>
  <c r="L215" i="4"/>
  <c r="L214" i="4"/>
  <c r="L213" i="4"/>
  <c r="L212" i="4"/>
  <c r="L211" i="4"/>
  <c r="L210" i="4"/>
  <c r="L209" i="4"/>
  <c r="L208" i="4"/>
  <c r="L207" i="4"/>
  <c r="L206" i="4"/>
  <c r="L205" i="4"/>
  <c r="L204" i="4"/>
  <c r="L203" i="4"/>
  <c r="L202" i="4"/>
  <c r="L20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P242" i="4"/>
  <c r="Q242" i="4"/>
  <c r="R242" i="4"/>
  <c r="S242" i="4"/>
  <c r="P243" i="4"/>
  <c r="Q243" i="4"/>
  <c r="R243" i="4"/>
  <c r="S243" i="4"/>
  <c r="P245" i="4"/>
  <c r="Q245" i="4"/>
  <c r="R245" i="4"/>
  <c r="S245" i="4"/>
  <c r="P246" i="4"/>
  <c r="Q246" i="4"/>
  <c r="R246" i="4"/>
  <c r="S246" i="4"/>
  <c r="P247" i="4"/>
  <c r="Q247" i="4"/>
  <c r="R247" i="4"/>
  <c r="S247" i="4"/>
  <c r="P248" i="4"/>
  <c r="Q248" i="4"/>
  <c r="R248" i="4"/>
  <c r="S248" i="4"/>
  <c r="P249" i="4"/>
  <c r="Q249" i="4"/>
  <c r="R249" i="4"/>
  <c r="S249" i="4"/>
  <c r="P250" i="4"/>
  <c r="Q250" i="4"/>
  <c r="R250" i="4"/>
  <c r="S250" i="4"/>
  <c r="F15" i="12" l="1"/>
  <c r="F15" i="9"/>
  <c r="S240" i="4"/>
  <c r="S251" i="4"/>
  <c r="S252" i="4"/>
  <c r="S239" i="4"/>
  <c r="S238" i="4"/>
  <c r="S237" i="4"/>
  <c r="S236" i="4"/>
  <c r="S235" i="4"/>
  <c r="S234" i="4"/>
  <c r="S233" i="4"/>
  <c r="S232" i="4"/>
  <c r="S231" i="4"/>
  <c r="S230" i="4"/>
  <c r="S241" i="4"/>
  <c r="S229" i="4"/>
  <c r="S228" i="4"/>
  <c r="S227" i="4"/>
  <c r="S226" i="4"/>
  <c r="S225" i="4"/>
  <c r="S224" i="4"/>
  <c r="S223" i="4"/>
  <c r="S253" i="4"/>
  <c r="S222" i="4"/>
  <c r="S221" i="4"/>
  <c r="S220" i="4"/>
  <c r="S219" i="4"/>
  <c r="S218" i="4"/>
  <c r="S217" i="4"/>
  <c r="S216" i="4"/>
  <c r="S215" i="4"/>
  <c r="S214" i="4"/>
  <c r="S213" i="4"/>
  <c r="S212" i="4"/>
  <c r="S211" i="4"/>
  <c r="S254" i="4"/>
  <c r="S210" i="4"/>
  <c r="S209" i="4"/>
  <c r="S208" i="4"/>
  <c r="S207" i="4"/>
  <c r="S206" i="4"/>
  <c r="S205" i="4"/>
  <c r="S204" i="4"/>
  <c r="S203" i="4"/>
  <c r="S202" i="4"/>
  <c r="S201" i="4"/>
  <c r="S200" i="4"/>
  <c r="S199" i="4"/>
  <c r="S198" i="4"/>
  <c r="S197" i="4"/>
  <c r="S196" i="4"/>
  <c r="S195" i="4"/>
  <c r="S194" i="4"/>
  <c r="S193" i="4"/>
  <c r="S192" i="4"/>
  <c r="S191" i="4"/>
  <c r="S190" i="4"/>
  <c r="S189" i="4"/>
  <c r="S188" i="4"/>
  <c r="S187" i="4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S160" i="4"/>
  <c r="S159" i="4"/>
  <c r="S158" i="4"/>
  <c r="S157" i="4"/>
  <c r="S156" i="4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S128" i="4"/>
  <c r="S127" i="4"/>
  <c r="S126" i="4"/>
  <c r="S125" i="4"/>
  <c r="S124" i="4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S110" i="4"/>
  <c r="S109" i="4"/>
  <c r="S108" i="4"/>
  <c r="S107" i="4"/>
  <c r="S106" i="4"/>
  <c r="S105" i="4"/>
  <c r="S104" i="4"/>
  <c r="S103" i="4"/>
  <c r="S102" i="4"/>
  <c r="S101" i="4"/>
  <c r="S100" i="4"/>
  <c r="S99" i="4"/>
  <c r="S98" i="4"/>
  <c r="S244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255" i="4"/>
  <c r="S80" i="4"/>
  <c r="S79" i="4"/>
  <c r="S78" i="4"/>
  <c r="S77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256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257" i="4"/>
  <c r="S8" i="4"/>
  <c r="S7" i="4"/>
  <c r="S6" i="4"/>
  <c r="S5" i="4"/>
  <c r="S4" i="4"/>
  <c r="S3" i="4"/>
  <c r="S2" i="4"/>
  <c r="R240" i="4"/>
  <c r="R251" i="4"/>
  <c r="R252" i="4"/>
  <c r="R239" i="4"/>
  <c r="R238" i="4"/>
  <c r="R237" i="4"/>
  <c r="R236" i="4"/>
  <c r="R235" i="4"/>
  <c r="R234" i="4"/>
  <c r="R233" i="4"/>
  <c r="R232" i="4"/>
  <c r="R231" i="4"/>
  <c r="R230" i="4"/>
  <c r="R241" i="4"/>
  <c r="R229" i="4"/>
  <c r="R228" i="4"/>
  <c r="R227" i="4"/>
  <c r="R226" i="4"/>
  <c r="R225" i="4"/>
  <c r="R224" i="4"/>
  <c r="R223" i="4"/>
  <c r="R25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54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244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255" i="4"/>
  <c r="R80" i="4"/>
  <c r="R79" i="4"/>
  <c r="R78" i="4"/>
  <c r="R77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256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257" i="4"/>
  <c r="R8" i="4"/>
  <c r="R7" i="4"/>
  <c r="R6" i="4"/>
  <c r="R5" i="4"/>
  <c r="R4" i="4"/>
  <c r="R3" i="4"/>
  <c r="R2" i="4"/>
  <c r="Q240" i="4"/>
  <c r="Q251" i="4"/>
  <c r="Q252" i="4"/>
  <c r="Q239" i="4"/>
  <c r="Q238" i="4"/>
  <c r="Q237" i="4"/>
  <c r="Q236" i="4"/>
  <c r="Q235" i="4"/>
  <c r="Q234" i="4"/>
  <c r="Q233" i="4"/>
  <c r="Q232" i="4"/>
  <c r="Q231" i="4"/>
  <c r="Q230" i="4"/>
  <c r="Q241" i="4"/>
  <c r="Q229" i="4"/>
  <c r="Q228" i="4"/>
  <c r="Q227" i="4"/>
  <c r="Q226" i="4"/>
  <c r="Q225" i="4"/>
  <c r="Q224" i="4"/>
  <c r="Q223" i="4"/>
  <c r="Q253" i="4"/>
  <c r="Q222" i="4"/>
  <c r="Q221" i="4"/>
  <c r="Q220" i="4"/>
  <c r="Q219" i="4"/>
  <c r="Q218" i="4"/>
  <c r="Q217" i="4"/>
  <c r="Q216" i="4"/>
  <c r="Q215" i="4"/>
  <c r="Q214" i="4"/>
  <c r="Q213" i="4"/>
  <c r="Q212" i="4"/>
  <c r="Q211" i="4"/>
  <c r="Q254" i="4"/>
  <c r="Q210" i="4"/>
  <c r="Q209" i="4"/>
  <c r="Q208" i="4"/>
  <c r="Q207" i="4"/>
  <c r="Q206" i="4"/>
  <c r="Q205" i="4"/>
  <c r="Q204" i="4"/>
  <c r="Q203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244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255" i="4"/>
  <c r="Q80" i="4"/>
  <c r="Q79" i="4"/>
  <c r="Q78" i="4"/>
  <c r="Q77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256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257" i="4"/>
  <c r="Q8" i="4"/>
  <c r="Q7" i="4"/>
  <c r="Q6" i="4"/>
  <c r="Q5" i="4"/>
  <c r="Q4" i="4"/>
  <c r="Q3" i="4"/>
  <c r="Q2" i="4"/>
  <c r="P240" i="4"/>
  <c r="P251" i="4"/>
  <c r="P252" i="4"/>
  <c r="P239" i="4"/>
  <c r="P238" i="4"/>
  <c r="P237" i="4"/>
  <c r="P236" i="4"/>
  <c r="P235" i="4"/>
  <c r="P234" i="4"/>
  <c r="P233" i="4"/>
  <c r="P232" i="4"/>
  <c r="P231" i="4"/>
  <c r="P230" i="4"/>
  <c r="P241" i="4"/>
  <c r="P229" i="4"/>
  <c r="P228" i="4"/>
  <c r="P227" i="4"/>
  <c r="P226" i="4"/>
  <c r="P225" i="4"/>
  <c r="P224" i="4"/>
  <c r="P223" i="4"/>
  <c r="P253" i="4"/>
  <c r="P222" i="4"/>
  <c r="P221" i="4"/>
  <c r="P220" i="4"/>
  <c r="P219" i="4"/>
  <c r="P218" i="4"/>
  <c r="P217" i="4"/>
  <c r="P216" i="4"/>
  <c r="P215" i="4"/>
  <c r="P214" i="4"/>
  <c r="P213" i="4"/>
  <c r="P212" i="4"/>
  <c r="P211" i="4"/>
  <c r="P254" i="4"/>
  <c r="P210" i="4"/>
  <c r="P209" i="4"/>
  <c r="P208" i="4"/>
  <c r="P207" i="4"/>
  <c r="P206" i="4"/>
  <c r="P205" i="4"/>
  <c r="P204" i="4"/>
  <c r="P203" i="4"/>
  <c r="P202" i="4"/>
  <c r="P201" i="4"/>
  <c r="P200" i="4"/>
  <c r="P199" i="4"/>
  <c r="P198" i="4"/>
  <c r="P197" i="4"/>
  <c r="P196" i="4"/>
  <c r="P195" i="4"/>
  <c r="P194" i="4"/>
  <c r="P193" i="4"/>
  <c r="P192" i="4"/>
  <c r="P191" i="4"/>
  <c r="P190" i="4"/>
  <c r="P189" i="4"/>
  <c r="P188" i="4"/>
  <c r="P187" i="4"/>
  <c r="P186" i="4"/>
  <c r="P185" i="4"/>
  <c r="P184" i="4"/>
  <c r="P183" i="4"/>
  <c r="P182" i="4"/>
  <c r="P181" i="4"/>
  <c r="P180" i="4"/>
  <c r="P179" i="4"/>
  <c r="P178" i="4"/>
  <c r="P177" i="4"/>
  <c r="P176" i="4"/>
  <c r="P175" i="4"/>
  <c r="P174" i="4"/>
  <c r="P173" i="4"/>
  <c r="P172" i="4"/>
  <c r="P171" i="4"/>
  <c r="P170" i="4"/>
  <c r="P169" i="4"/>
  <c r="P168" i="4"/>
  <c r="P167" i="4"/>
  <c r="P166" i="4"/>
  <c r="P165" i="4"/>
  <c r="P164" i="4"/>
  <c r="P163" i="4"/>
  <c r="P162" i="4"/>
  <c r="P161" i="4"/>
  <c r="P160" i="4"/>
  <c r="P159" i="4"/>
  <c r="P158" i="4"/>
  <c r="P157" i="4"/>
  <c r="P156" i="4"/>
  <c r="P155" i="4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244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255" i="4"/>
  <c r="P80" i="4"/>
  <c r="P79" i="4"/>
  <c r="P78" i="4"/>
  <c r="P77" i="4"/>
  <c r="P74" i="4"/>
  <c r="P73" i="4"/>
  <c r="P72" i="4"/>
  <c r="P71" i="4"/>
  <c r="P70" i="4"/>
  <c r="P69" i="4"/>
  <c r="P68" i="4"/>
  <c r="P67" i="4"/>
  <c r="P66" i="4"/>
  <c r="P65" i="4"/>
  <c r="P64" i="4"/>
  <c r="P63" i="4"/>
  <c r="P62" i="4"/>
  <c r="P61" i="4"/>
  <c r="P60" i="4"/>
  <c r="P59" i="4"/>
  <c r="P58" i="4"/>
  <c r="P256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257" i="4"/>
  <c r="P8" i="4"/>
  <c r="P7" i="4"/>
  <c r="P6" i="4"/>
  <c r="P5" i="4"/>
  <c r="P4" i="4"/>
  <c r="P3" i="4"/>
  <c r="P2" i="4"/>
  <c r="S76" i="4" l="1"/>
  <c r="S75" i="4"/>
  <c r="S9" i="4"/>
  <c r="S10" i="4"/>
  <c r="R75" i="4"/>
  <c r="R76" i="4"/>
  <c r="R9" i="4"/>
  <c r="R10" i="4"/>
  <c r="Q76" i="4"/>
  <c r="Q75" i="4"/>
  <c r="Q9" i="4"/>
  <c r="Q10" i="4"/>
  <c r="P76" i="4"/>
  <c r="P75" i="4"/>
  <c r="P9" i="4"/>
  <c r="P10" i="4"/>
  <c r="G15" i="9"/>
  <c r="G15" i="12"/>
  <c r="E21" i="9"/>
  <c r="E17" i="9"/>
  <c r="E72" i="9" l="1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0" i="9"/>
  <c r="E19" i="9"/>
  <c r="E18" i="9"/>
  <c r="E16" i="9"/>
  <c r="E15" i="9"/>
  <c r="E14" i="9"/>
  <c r="E13" i="9"/>
  <c r="E12" i="9"/>
  <c r="E11" i="9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F12" i="12"/>
  <c r="G70" i="12"/>
  <c r="G69" i="12"/>
  <c r="G68" i="12"/>
  <c r="G67" i="12"/>
  <c r="G66" i="12"/>
  <c r="G65" i="12"/>
  <c r="G64" i="12"/>
  <c r="G63" i="12"/>
  <c r="G62" i="12"/>
  <c r="G61" i="12"/>
  <c r="G60" i="12"/>
  <c r="G58" i="12"/>
  <c r="G57" i="12"/>
  <c r="G56" i="12"/>
  <c r="G55" i="12"/>
  <c r="G54" i="12"/>
  <c r="G52" i="12"/>
  <c r="G51" i="12"/>
  <c r="G50" i="12"/>
  <c r="G48" i="12"/>
  <c r="G47" i="12"/>
  <c r="G46" i="12"/>
  <c r="G45" i="12"/>
  <c r="G44" i="12"/>
  <c r="G43" i="12"/>
  <c r="G42" i="12"/>
  <c r="G41" i="12"/>
  <c r="G40" i="12"/>
  <c r="G38" i="12"/>
  <c r="G37" i="12"/>
  <c r="G36" i="12"/>
  <c r="G35" i="12"/>
  <c r="G34" i="12"/>
  <c r="G33" i="12"/>
  <c r="G32" i="12"/>
  <c r="G30" i="12"/>
  <c r="G29" i="12"/>
  <c r="G28" i="12"/>
  <c r="G27" i="12"/>
  <c r="G26" i="12"/>
  <c r="G25" i="12"/>
  <c r="G24" i="12"/>
  <c r="G22" i="12"/>
  <c r="G20" i="12"/>
  <c r="G18" i="12"/>
  <c r="G16" i="12"/>
  <c r="G14" i="12"/>
  <c r="G12" i="12"/>
  <c r="F70" i="12"/>
  <c r="F69" i="12"/>
  <c r="F68" i="12"/>
  <c r="F67" i="12"/>
  <c r="F66" i="12"/>
  <c r="F65" i="12"/>
  <c r="F64" i="12"/>
  <c r="F63" i="12"/>
  <c r="F62" i="12"/>
  <c r="F61" i="12"/>
  <c r="F60" i="12"/>
  <c r="F58" i="12"/>
  <c r="F57" i="12"/>
  <c r="F56" i="12"/>
  <c r="F55" i="12"/>
  <c r="F54" i="12"/>
  <c r="F52" i="12"/>
  <c r="F51" i="12"/>
  <c r="F50" i="12"/>
  <c r="F48" i="12"/>
  <c r="F47" i="12"/>
  <c r="F46" i="12"/>
  <c r="F45" i="12"/>
  <c r="F44" i="12"/>
  <c r="F43" i="12"/>
  <c r="F42" i="12"/>
  <c r="F41" i="12"/>
  <c r="F40" i="12"/>
  <c r="F38" i="12"/>
  <c r="F37" i="12"/>
  <c r="F36" i="12"/>
  <c r="F35" i="12"/>
  <c r="F34" i="12"/>
  <c r="F33" i="12"/>
  <c r="F32" i="12"/>
  <c r="F30" i="12"/>
  <c r="F29" i="12"/>
  <c r="F28" i="12"/>
  <c r="F27" i="12"/>
  <c r="F26" i="12"/>
  <c r="F25" i="12"/>
  <c r="F24" i="12"/>
  <c r="F22" i="12"/>
  <c r="F20" i="12"/>
  <c r="F18" i="12"/>
  <c r="F16" i="12"/>
  <c r="F14" i="12"/>
  <c r="G8" i="12"/>
  <c r="F8" i="12"/>
  <c r="E5" i="12"/>
  <c r="G8" i="9"/>
  <c r="F8" i="9"/>
  <c r="E5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8" i="9"/>
  <c r="G57" i="9"/>
  <c r="G56" i="9"/>
  <c r="G55" i="9"/>
  <c r="G54" i="9"/>
  <c r="G52" i="9"/>
  <c r="G51" i="9"/>
  <c r="G50" i="9"/>
  <c r="G48" i="9"/>
  <c r="G47" i="9"/>
  <c r="G46" i="9"/>
  <c r="G45" i="9"/>
  <c r="G44" i="9"/>
  <c r="G43" i="9"/>
  <c r="G42" i="9"/>
  <c r="G41" i="9"/>
  <c r="G40" i="9"/>
  <c r="G38" i="9"/>
  <c r="G37" i="9"/>
  <c r="G36" i="9"/>
  <c r="G35" i="9"/>
  <c r="G34" i="9"/>
  <c r="G33" i="9"/>
  <c r="G32" i="9"/>
  <c r="G30" i="9"/>
  <c r="G29" i="9"/>
  <c r="G28" i="9"/>
  <c r="G27" i="9"/>
  <c r="G26" i="9"/>
  <c r="G25" i="9"/>
  <c r="G24" i="9"/>
  <c r="G20" i="9"/>
  <c r="G18" i="9"/>
  <c r="G16" i="9"/>
  <c r="G14" i="9"/>
  <c r="G12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8" i="9"/>
  <c r="F57" i="9"/>
  <c r="F56" i="9"/>
  <c r="F55" i="9"/>
  <c r="F54" i="9"/>
  <c r="F52" i="9"/>
  <c r="F51" i="9"/>
  <c r="F50" i="9"/>
  <c r="F48" i="9"/>
  <c r="F47" i="9"/>
  <c r="F46" i="9"/>
  <c r="F45" i="9"/>
  <c r="F44" i="9"/>
  <c r="F43" i="9"/>
  <c r="F42" i="9"/>
  <c r="F41" i="9"/>
  <c r="F40" i="9"/>
  <c r="F38" i="9"/>
  <c r="F37" i="9"/>
  <c r="F36" i="9"/>
  <c r="F35" i="9"/>
  <c r="F34" i="9"/>
  <c r="F33" i="9"/>
  <c r="F32" i="9"/>
  <c r="F30" i="9"/>
  <c r="F29" i="9"/>
  <c r="F28" i="9"/>
  <c r="F27" i="9"/>
  <c r="F26" i="9"/>
  <c r="F25" i="9"/>
  <c r="F24" i="9"/>
  <c r="F20" i="9"/>
  <c r="F18" i="9"/>
  <c r="F16" i="9"/>
  <c r="F14" i="9"/>
  <c r="F12" i="9"/>
  <c r="G23" i="12" l="1"/>
  <c r="F23" i="12"/>
  <c r="F31" i="12"/>
  <c r="G31" i="12"/>
  <c r="F31" i="9"/>
  <c r="G31" i="9"/>
  <c r="F23" i="9"/>
  <c r="G23" i="9"/>
  <c r="G19" i="12"/>
  <c r="G11" i="12"/>
  <c r="G13" i="9"/>
  <c r="G19" i="9"/>
  <c r="G13" i="12"/>
  <c r="G11" i="9"/>
  <c r="G17" i="9" l="1"/>
  <c r="G21" i="9" s="1"/>
  <c r="G39" i="9" s="1"/>
  <c r="G49" i="9" s="1"/>
  <c r="G53" i="9" s="1"/>
  <c r="G59" i="9" s="1"/>
  <c r="G17" i="12"/>
  <c r="G21" i="12" s="1"/>
  <c r="G39" i="12" s="1"/>
  <c r="G49" i="12" s="1"/>
  <c r="G53" i="12" s="1"/>
  <c r="G59" i="12" s="1"/>
  <c r="F11" i="12"/>
  <c r="F13" i="12"/>
  <c r="F19" i="12"/>
  <c r="F11" i="9"/>
  <c r="F19" i="9"/>
  <c r="F13" i="9"/>
  <c r="F17" i="12" l="1"/>
  <c r="F21" i="12" s="1"/>
  <c r="F39" i="12" s="1"/>
  <c r="F17" i="9"/>
  <c r="F21" i="9" s="1"/>
  <c r="F39" i="9" s="1"/>
  <c r="F49" i="9" s="1"/>
  <c r="F53" i="9" s="1"/>
  <c r="F59" i="9" s="1"/>
  <c r="F49" i="12" l="1"/>
  <c r="F53" i="12" s="1"/>
  <c r="F59" i="12" s="1"/>
</calcChain>
</file>

<file path=xl/sharedStrings.xml><?xml version="1.0" encoding="utf-8"?>
<sst xmlns="http://schemas.openxmlformats.org/spreadsheetml/2006/main" count="805" uniqueCount="290">
  <si>
    <t>VENDA BRUTA DE MERCADORIAS</t>
  </si>
  <si>
    <t>VENDA DE ESTOQUE DE PRODUCAO VEGETAL</t>
  </si>
  <si>
    <t>VENDA DE ESTOQUE DE PROD ANIMAL E DERIVADOS</t>
  </si>
  <si>
    <t>VENDA DE LIVROS PERIODICOS E ASSEMELHADOS</t>
  </si>
  <si>
    <t>VENDA DE PRODUTOS AGROPECUARIOS</t>
  </si>
  <si>
    <t>VENDA BRUTA DE PRODUTOS</t>
  </si>
  <si>
    <t>VALOR BRUTO EXPLORACAO BENS, DIR E SERVICOS</t>
  </si>
  <si>
    <t>VENDA BRUTA EXPLORACAO DE BENS, DIR E SERVICO</t>
  </si>
  <si>
    <t>* ICMS</t>
  </si>
  <si>
    <t>* ISS</t>
  </si>
  <si>
    <t>* PIS/PASEP</t>
  </si>
  <si>
    <t>* COFINS</t>
  </si>
  <si>
    <t>CUSTO DAS MERCADORIAS VENDIDAS - CMV</t>
  </si>
  <si>
    <t>CUSTO DOS PRODUTOS VENDIDOS - CPV</t>
  </si>
  <si>
    <t>= REPASSE RECEBIDO</t>
  </si>
  <si>
    <t>DOACOES/TRANSFERENCIAS RECEBIDAS</t>
  </si>
  <si>
    <t>TRANSFERENCIAS VOLUNTARIAS</t>
  </si>
  <si>
    <t>TRANSF. INSTIT. PRIVADAS COM FINS LUCRATIVOS</t>
  </si>
  <si>
    <t>JUROS E ENCAR DE MORA S/ FORNEC.DE BENS/SERV.</t>
  </si>
  <si>
    <t>OUTROS JUROS E ENCARGOS DE MORA</t>
  </si>
  <si>
    <t>OUTRAS VARIACOES MONETARIAS</t>
  </si>
  <si>
    <t>OUTRAS VARIACOES CAMBIAIS</t>
  </si>
  <si>
    <t>REMUNERACAO DE DEPOSITOS BANCARIOS</t>
  </si>
  <si>
    <t>REMUNERACAO DE APLICACOES FINANCEIRAS</t>
  </si>
  <si>
    <t>MULTAS ADMINISTRATIVAS</t>
  </si>
  <si>
    <t>VPA BRUTA A REGULARIZAR - ALIENACAO DE BENS</t>
  </si>
  <si>
    <t>= VPA BRUTA A CLASSIFICAR - ERRO PROCESS DA GRU</t>
  </si>
  <si>
    <t>= SUB-REPASSE RECEBIDO</t>
  </si>
  <si>
    <t>= REPASSE DIFERIDO - BAIXA</t>
  </si>
  <si>
    <t>= SUBREPASSE DIFERIDO - BAIXA</t>
  </si>
  <si>
    <t>= TRANSFERENCIAS RECEBIDAS PARA PGTO DE RP</t>
  </si>
  <si>
    <t>= DEMAIS TRANSFERENCIAS RECEBIDAS</t>
  </si>
  <si>
    <t>= SUBREPASSE DIFERIDO - INSCRICAO</t>
  </si>
  <si>
    <t>MOVIMENTACOES DE SALDOS PATRIMONIAIS</t>
  </si>
  <si>
    <t>MOVIMENTACOES DE SALDOS PATRIMONIAIS-NSSALDO</t>
  </si>
  <si>
    <t>MOVIMENTO DE VARIACAO PATRIMONIAL AUMENTATIVA</t>
  </si>
  <si>
    <t>GANHOS COM ALIENACAO DE BENS MOVEIS</t>
  </si>
  <si>
    <t>GANHOS COM ALIENACAO DE BENS IMOVEIS</t>
  </si>
  <si>
    <t>GANHOS COM INCORPORACAO DE ATIVOS POR DESCOBE</t>
  </si>
  <si>
    <t>GANHOS COM INCORP. DE ATIVOS POR NASCIMENTO</t>
  </si>
  <si>
    <t>OUTROS GANHOS COM INCORPORACAO DE ATIVO</t>
  </si>
  <si>
    <t>GANHOS COM DESINCORPORACAO DE PASSIVOS</t>
  </si>
  <si>
    <t>RESULT POSIT DE EQUIV PATRIMONIAL</t>
  </si>
  <si>
    <t>REVERSAO DE AJUSTES DE PERDAS</t>
  </si>
  <si>
    <t>INDENIZACOES</t>
  </si>
  <si>
    <t>RESTITUICOES</t>
  </si>
  <si>
    <t>VPA DECORRENTE DE FATORES GERADORES DIVERSOS</t>
  </si>
  <si>
    <t>MOVIMENTACOES PARA INCORPORACOES DE SALDOS</t>
  </si>
  <si>
    <t>VPA DECORRENTE DE FATOS GERADORES DIVERSOS</t>
  </si>
  <si>
    <t>VENCIMENTOS E SALARIOS</t>
  </si>
  <si>
    <t>SENTENCAS JUDICIAIS - PESSOAL ATIVO RPPS</t>
  </si>
  <si>
    <t>OUTROS VENC.E VANTAG.FIXAS E VARIAVEIS RPPS</t>
  </si>
  <si>
    <t>ADICIONAIS</t>
  </si>
  <si>
    <t>GRATIFICACOES</t>
  </si>
  <si>
    <t>FERIAS - RGPS</t>
  </si>
  <si>
    <t>13. SALARIO - RGPS</t>
  </si>
  <si>
    <t>LICENCAS</t>
  </si>
  <si>
    <t>INDENIZACOES - RGPS</t>
  </si>
  <si>
    <t>SENTENCAS JUDICIAIS - ATIVO CIVIL RGPS</t>
  </si>
  <si>
    <t>CONTRIBUICOES PREVIDENCIARIAS - INSS</t>
  </si>
  <si>
    <t>OUTROS ENCARGOS PATRONAIS - RGPS</t>
  </si>
  <si>
    <t>FGTS</t>
  </si>
  <si>
    <t>AUXILIO TRANSPORTE</t>
  </si>
  <si>
    <t>AUXILIO CRECHE</t>
  </si>
  <si>
    <t>INDENIZACOES E RESTITUICOES TRABALHISTAS</t>
  </si>
  <si>
    <t>PENSOES INDENIZATORIAS - LEGISLACAO ESPECIAL</t>
  </si>
  <si>
    <t>CONSUMO DE MATERIAIS ESTOCADOS - ALMOXARIFADO</t>
  </si>
  <si>
    <t>CONSUMO DE COMBUSTIVEIS E LUBRIFICANTES</t>
  </si>
  <si>
    <t>CONSUMO DE GENEROS DE ALIMENTACAO</t>
  </si>
  <si>
    <t>CONSUMO DE MATERIAL DE PROCESSAMENTO DE DADOS</t>
  </si>
  <si>
    <t>CONSUMO DE MATERIAL FARMACOLOGICO</t>
  </si>
  <si>
    <t>CONSUMO DE MATERIAL HOSPITALAR</t>
  </si>
  <si>
    <t>CONSUMO DE MATERIAL PARA PRODUCAO INDUSTRIAL</t>
  </si>
  <si>
    <t>MATERIAL DE CONSUMO IMEDIATO</t>
  </si>
  <si>
    <t>CONSUMO DE OUTROS MATERIAIS</t>
  </si>
  <si>
    <t>DIARIAS</t>
  </si>
  <si>
    <t>SERVICOS TECNICOS PROFISSIONAIS - PF</t>
  </si>
  <si>
    <t>SERV. DE APOIO ADM., TECNICO E OPERACIONAL-PF</t>
  </si>
  <si>
    <t>SERV. COMUNICACAO, GRAFICOS E AUDIOVISUAL-PF</t>
  </si>
  <si>
    <t>SERV.DE TRANSP., LOCOMOCAO E HOSPEDAGEM - PF</t>
  </si>
  <si>
    <t>SERVICOS DE CONFECCOES - PF</t>
  </si>
  <si>
    <t>LOCACOES E ARRENDAMENTOS - PF</t>
  </si>
  <si>
    <t>SERVICOS EDUCACIONAIS E CULTURAIS - PF</t>
  </si>
  <si>
    <t>SENTENCAS JUDICIAIS - SERVICOS TERCEIROS - PF</t>
  </si>
  <si>
    <t>SERVICOS PRESTADOS DIVERSOS - PF</t>
  </si>
  <si>
    <t>SERVICOS TECNICOS PROFISSIONAIS</t>
  </si>
  <si>
    <t>SERVICOS DE APOIO ADM, TECNICO E OPERACIONAL</t>
  </si>
  <si>
    <t>SERVICOS COMUNICACAO, GRAFICO E AUDIOVISUAL</t>
  </si>
  <si>
    <t>SERV.TRANSP.,PASSAGEM,LOCOMOCAO E HOSPED.-PJ</t>
  </si>
  <si>
    <t>SERVICOS ADMINISTRATIVOS - PJ</t>
  </si>
  <si>
    <t>SERVICOS ASSISTENCIAIS - PJ</t>
  </si>
  <si>
    <t>SERVICOS DE CONFECCOES - PJ</t>
  </si>
  <si>
    <t>SERV.AGUA E ESGOTO,ENER.ELETR.,GAS E OUTR.-PJ</t>
  </si>
  <si>
    <t>LOCACAO E ARRENDAMENTO MERCANTIL OPERACIONAL</t>
  </si>
  <si>
    <t>SERVICOS EDUCACIONAIS E CULTURAIS - PJ</t>
  </si>
  <si>
    <t>SENTENCAS JUDICIAIS - SERVICOS TERCEIROS - PJ</t>
  </si>
  <si>
    <t>FORNECIMENTO DE ALIMENTACAO</t>
  </si>
  <si>
    <t>SEGUROS EM GERAL</t>
  </si>
  <si>
    <t>CONSERVACAO/MANUTENCAO ATIVOS INFRAESTRUTURA</t>
  </si>
  <si>
    <t>SERVICOS PRESTADOS DIVERSOS - PJ</t>
  </si>
  <si>
    <t>SERVICOS TECNICOS PROFISSIONAIS - PJ - INTRA</t>
  </si>
  <si>
    <t>SERV.APOIO ADM,TECNICO E OPERACIONAL-PJ-INTRA</t>
  </si>
  <si>
    <t>SERV.COMUNICAC.,GRAFICOS E AUDIOVIS.-PJ-INTRA</t>
  </si>
  <si>
    <t>SERV.TRANSP.,PASSAG.,LOC.E HOSPEDAG.-PJ-INTRA</t>
  </si>
  <si>
    <t>SERVICOS ADMINISTRATIVOS - PJ - INTRA</t>
  </si>
  <si>
    <t>SERV.AGUA ESG.,ENER.ELE.,GAS E OUTR.-PJ-INTRA</t>
  </si>
  <si>
    <t>LOCACOES E ARRENDAMENTOS - PJ - INTRA</t>
  </si>
  <si>
    <t>SERVICOS EDUCACIONAIS E CULTURAIS-PJ-INTRA</t>
  </si>
  <si>
    <t>SERVICOS PRESTADOS DIVERSOS - PJ - INTRA</t>
  </si>
  <si>
    <t>SERVICOS TECNICOS PROFISSIONAIS - PJ - ESTADO</t>
  </si>
  <si>
    <t>SERV. APOIO ADM, TECNICO E OPERACIONAL-PJ-EST</t>
  </si>
  <si>
    <t>SERV.COMUNICACAO, GRAFICOS E AUDIOV.-PJ-EST</t>
  </si>
  <si>
    <t>SERV. TRANSP.,PASSAG.,LOC.E HOSP.-PJ-EST</t>
  </si>
  <si>
    <t>SERVICOS ADMINISTRATIVOS - PJ - ESTADO</t>
  </si>
  <si>
    <t>SERV.AGUA ESG.,ENER.ELE.,GAS E OUTR.-PJ-EST</t>
  </si>
  <si>
    <t>SERVICOS EDUCACIONAIS E CULTURAIS - PJ - EST</t>
  </si>
  <si>
    <t>SERVICOS PRESTADOS DIVERSOS - PJ - ESTADO</t>
  </si>
  <si>
    <t>SERVICOS TECNICOS PROFISSIONAIS - PJ - MUN</t>
  </si>
  <si>
    <t>SERV.APOIO ADM.,TECNICO E OPERACIONAL-PJ-MUN</t>
  </si>
  <si>
    <t>SERV.COMUNICACAO,GRAFICOS E AUDIOV.-PJ-MUN</t>
  </si>
  <si>
    <t>SERV.TRANSP.,PASS.,LOC.E HOSPEDAG.-PJ-MUN</t>
  </si>
  <si>
    <t>SERVICOS ADMINISTRATIVOS - PJ - MUN</t>
  </si>
  <si>
    <t>SERV.AGUA ESGOTO,ENER.EL.,GAS E OUTR.-PJ-MUN</t>
  </si>
  <si>
    <t>SERVICOS PRESTADOS DIVERSOS - PJ - MUNCIPIO</t>
  </si>
  <si>
    <t>BOLSA DE ESTUDOS NO PAIS</t>
  </si>
  <si>
    <t>BOLSA DE ESTUDOS NO EXTERIOR</t>
  </si>
  <si>
    <t>AUXILIOS P/ DESENVOLVIMENTO ESTUDOS/PESQUISAS</t>
  </si>
  <si>
    <t>DEPRECIACAO DE BENS MOVEIS</t>
  </si>
  <si>
    <t>DEPRECIACAO DE BENS IMOVEIS</t>
  </si>
  <si>
    <t>AMORTIZACAO DE IMOBILIZADO</t>
  </si>
  <si>
    <t>AMORTIZACAO DE INTANGIVEL</t>
  </si>
  <si>
    <t>IMPOSTO S/ PROPRIEDADE TERRITORIAL RURAL</t>
  </si>
  <si>
    <t>IMPOSTO S/ PROPRIEDADE PREDIAL E TERRITORIAL</t>
  </si>
  <si>
    <t>IMPOSTO S/ PROPRIEDADE DE VEICULOS AUTOMOTORE</t>
  </si>
  <si>
    <t>IMPOSTO S/ CIRC. DE MERCADORIAS E SERVICOS</t>
  </si>
  <si>
    <t>IMPOSTO SOBRE SERVICOS DE QUALQUER NATUREZA</t>
  </si>
  <si>
    <t>OUTROS IMPOSTOS</t>
  </si>
  <si>
    <t>IMPOSTO S/ PRODUTOS INDUSTRIALIZADOS</t>
  </si>
  <si>
    <t>IMPOSTO S/ IMPORTACAO</t>
  </si>
  <si>
    <t>IMPOSTO S/ CIRCULACAO DE MERCADORIAS E SERV.</t>
  </si>
  <si>
    <t>TAXAS</t>
  </si>
  <si>
    <t>OBRIGACOES PATRONAIS S/ SERVICOS DE PES. FIS.</t>
  </si>
  <si>
    <t>OBRIGACOES PATRONAIS S/ SERVICOS DE PES. JUR.</t>
  </si>
  <si>
    <t>CONTRIBUICOES SINDICAIS</t>
  </si>
  <si>
    <t>CONTRIBUICAO PARA FIN.DA SEG.SOCIAL - COFINS</t>
  </si>
  <si>
    <t>CONTRIBUICAO P/ SERVICO ILUMINACAO PUBLICA</t>
  </si>
  <si>
    <t>OUTRAS CONTRIBUICOES SOCIAIS</t>
  </si>
  <si>
    <t>CONTRIBUICAO ILUMINACAO PUBLICA</t>
  </si>
  <si>
    <t>OUTRAS CONTRIBUICOES</t>
  </si>
  <si>
    <t>PREMIACOES CIENTIFICAS</t>
  </si>
  <si>
    <t>INDENIZACOES E RESTITUICOES</t>
  </si>
  <si>
    <t>JUROS DE MORA</t>
  </si>
  <si>
    <t>MULTAS DEDUTIVEIS</t>
  </si>
  <si>
    <t>MULTAS INDEDUTIVEIS</t>
  </si>
  <si>
    <t>OUTROS ENCARGOS DE MORA</t>
  </si>
  <si>
    <t>JUROS</t>
  </si>
  <si>
    <t>ENCARGOS FINANCEIROS DEDUTIVEIS</t>
  </si>
  <si>
    <t>ATUALIZACAO MONETARIA NEGATIVA</t>
  </si>
  <si>
    <t>ENCARGOS FINANCEIROS DEDUTIVEIS-INTRA</t>
  </si>
  <si>
    <t>DESCONTOS FINANCEIROS CONCEDIDOS</t>
  </si>
  <si>
    <t>OUTRAS VPD FINANCEIRAS</t>
  </si>
  <si>
    <t>= REPASSE CONCEDIDO</t>
  </si>
  <si>
    <t>= SUB-REPASSE CONCEDIDO</t>
  </si>
  <si>
    <t>= SUB-REPASSE DIFERIDO - BAIXA</t>
  </si>
  <si>
    <t>= TRANSFERENCIAS CONCEDIDAS PARA PGTO DE RP</t>
  </si>
  <si>
    <t>= DEMAIS TRANSFERENCIAS CONCEDIDAS</t>
  </si>
  <si>
    <t>MOVIMENTO DE SALDOS PATRIMONIAIS</t>
  </si>
  <si>
    <t>MOVIMENTO DE VARIACAO PATRIMONIAL DIMINUTIVA</t>
  </si>
  <si>
    <t>DOACOES/TRANSFERENCIAS CONCEDIDAS-CONSOLID</t>
  </si>
  <si>
    <t>DOACOES/TRANSFERENCIAS CONCEDIDAS-INTRA OFFS</t>
  </si>
  <si>
    <t>DOACOES/TRANSFERENCIAS CONCEDIDAS-INTER ESTA</t>
  </si>
  <si>
    <t>REDUCAO A VALOR RECUPERAVEL DE BENS MOVEIS</t>
  </si>
  <si>
    <t>AJUSTE PARA PERDAS DE DEMAIS CREDITOS A RECEB</t>
  </si>
  <si>
    <t>PERDAS COM ALIENACAO DE BENS MOVEIS</t>
  </si>
  <si>
    <t>PERDAS COM ALIENACAO DE BENS IMOVEIS</t>
  </si>
  <si>
    <t>PERDAS INVOLUNTARIAS DE BENS MOVEIS</t>
  </si>
  <si>
    <t>PERDAS INVOLUNTARIAS COM ESTOQUES</t>
  </si>
  <si>
    <t>INCORPORACAO DE PASSIVOS</t>
  </si>
  <si>
    <t>= REPASSE DIFERIDO - INSCRICAO</t>
  </si>
  <si>
    <t>= SUB-REPASSE DIFERIDO - INSCRICAO</t>
  </si>
  <si>
    <t>DESINCORPORACAO DE ATIVOS</t>
  </si>
  <si>
    <t>RESULTADO NEG. DE EQUIVALENCIA PATRIMONIAL</t>
  </si>
  <si>
    <t>VPD DE PROVISOES P/ RISCOS FISCAIS</t>
  </si>
  <si>
    <t>OUTRAS VARIACOES PATRIMONIAIS DIMINUTIVAS</t>
  </si>
  <si>
    <t>COMPLEMENTACAO DE PREVIDENCIA</t>
  </si>
  <si>
    <t>Descrição</t>
  </si>
  <si>
    <t>Conta Contábil</t>
  </si>
  <si>
    <t>OUTROS VENCIM.E VANTAGENS FIXAS E VARIAVEIS</t>
  </si>
  <si>
    <t>SERVICOS ASSISTENCIAIS - PJ - INTRA</t>
  </si>
  <si>
    <t>IMPOSTO S/ OPERACOES FINANCEIRAS</t>
  </si>
  <si>
    <t>IMPOSTO DE RENDA</t>
  </si>
  <si>
    <t>CONTRIBUICOES DE MELHORIA</t>
  </si>
  <si>
    <t>PIS/PASEP</t>
  </si>
  <si>
    <t>CONTRIBUICOES DE INTERV. NO DOMINIO ECONOMICO</t>
  </si>
  <si>
    <t>GANHOS C/ INCORPORACAO DE ATIVOS POR PRODUCAO</t>
  </si>
  <si>
    <t>REVERSAO DE PROVISOES</t>
  </si>
  <si>
    <t>Classificação</t>
  </si>
  <si>
    <t>( - ) Contribuição Social sobre o Lucro</t>
  </si>
  <si>
    <t>( - ) Imposto de RendaPessoa Jurídica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</si>
  <si>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</si>
  <si>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</si>
  <si>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</si>
  <si>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</si>
  <si>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</si>
  <si>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</si>
  <si>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</si>
  <si>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</si>
  <si>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</si>
  <si>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</si>
  <si>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</si>
  <si>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</si>
  <si>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Descrição Contas DRE</t>
  </si>
  <si>
    <r>
      <t xml:space="preserve">( + ) Receitas com Vendas e Serviços </t>
    </r>
    <r>
      <rPr>
        <vertAlign val="superscript"/>
        <sz val="11"/>
        <color theme="1"/>
        <rFont val="Calibri"/>
        <family val="2"/>
        <scheme val="minor"/>
      </rPr>
      <t>2.1</t>
    </r>
  </si>
  <si>
    <r>
      <t xml:space="preserve">( - ) Vendas Canceladas e Descontos Incondicionais </t>
    </r>
    <r>
      <rPr>
        <vertAlign val="superscript"/>
        <sz val="11"/>
        <color theme="1"/>
        <rFont val="Calibri"/>
        <family val="2"/>
        <scheme val="minor"/>
      </rPr>
      <t>2.2</t>
    </r>
  </si>
  <si>
    <r>
      <t xml:space="preserve">( - ) Imposto s/ Vendas e Serviços e Outras Deduções </t>
    </r>
    <r>
      <rPr>
        <vertAlign val="superscript"/>
        <sz val="11"/>
        <color theme="1"/>
        <rFont val="Calibri"/>
        <family val="2"/>
        <scheme val="minor"/>
      </rPr>
      <t>2.3</t>
    </r>
  </si>
  <si>
    <r>
      <t xml:space="preserve">( - ) Custo das Mercadorias e Serviços Vendidos </t>
    </r>
    <r>
      <rPr>
        <vertAlign val="superscript"/>
        <sz val="11"/>
        <color theme="1"/>
        <rFont val="Calibri"/>
        <family val="2"/>
        <scheme val="minor"/>
      </rPr>
      <t>2.4</t>
    </r>
  </si>
  <si>
    <r>
      <t xml:space="preserve">Repasse Recebido </t>
    </r>
    <r>
      <rPr>
        <vertAlign val="superscript"/>
        <sz val="11"/>
        <color theme="1"/>
        <rFont val="Calibri"/>
        <family val="2"/>
        <scheme val="minor"/>
      </rPr>
      <t>2.5(a)</t>
    </r>
  </si>
  <si>
    <r>
      <t xml:space="preserve">Outras Receitas Operacionais </t>
    </r>
    <r>
      <rPr>
        <vertAlign val="superscript"/>
        <sz val="11"/>
        <color theme="1"/>
        <rFont val="Calibri"/>
        <family val="2"/>
        <scheme val="minor"/>
      </rPr>
      <t>2.5(b)</t>
    </r>
  </si>
  <si>
    <r>
      <t xml:space="preserve">Convênios </t>
    </r>
    <r>
      <rPr>
        <vertAlign val="superscript"/>
        <sz val="11"/>
        <color theme="1"/>
        <rFont val="Calibri"/>
        <family val="2"/>
        <scheme val="minor"/>
      </rPr>
      <t xml:space="preserve">2.5(c) </t>
    </r>
  </si>
  <si>
    <r>
      <t xml:space="preserve">Despesas com Vendas </t>
    </r>
    <r>
      <rPr>
        <vertAlign val="superscript"/>
        <sz val="11"/>
        <color theme="1"/>
        <rFont val="Calibri"/>
        <family val="2"/>
        <scheme val="minor"/>
      </rPr>
      <t>2.6(a)</t>
    </r>
  </si>
  <si>
    <r>
      <t xml:space="preserve">Despesas Administrativas </t>
    </r>
    <r>
      <rPr>
        <vertAlign val="superscript"/>
        <sz val="11"/>
        <color theme="1"/>
        <rFont val="Calibri"/>
        <family val="2"/>
        <scheme val="minor"/>
      </rPr>
      <t>2.6(b)</t>
    </r>
  </si>
  <si>
    <r>
      <t xml:space="preserve">Despesas com Investimentos </t>
    </r>
    <r>
      <rPr>
        <vertAlign val="superscript"/>
        <sz val="11"/>
        <color theme="1"/>
        <rFont val="Calibri"/>
        <family val="2"/>
        <scheme val="minor"/>
      </rPr>
      <t>2.6(c)</t>
    </r>
  </si>
  <si>
    <r>
      <t xml:space="preserve">( - ) Despesas Financeiras </t>
    </r>
    <r>
      <rPr>
        <vertAlign val="superscript"/>
        <sz val="11"/>
        <color theme="1"/>
        <rFont val="Calibri"/>
        <family val="2"/>
        <scheme val="minor"/>
      </rPr>
      <t>2.8</t>
    </r>
  </si>
  <si>
    <t>MINISTÉRIO DA AGRICULTURA, PECUÁRIA E ABASTECIMENTO - MAPA</t>
  </si>
  <si>
    <t>EMPRESA BRASILEIRA DE PESQUISA AGROPECUÁRIA - EMBRAPA</t>
  </si>
  <si>
    <t>C.G.C.00.348.003/0001-10</t>
  </si>
  <si>
    <t>Complemento</t>
  </si>
  <si>
    <t>Ano Corrente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</si>
  <si>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</si>
  <si>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</si>
  <si>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</si>
  <si>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</si>
  <si>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</si>
  <si>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</si>
  <si>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</si>
  <si>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</si>
  <si>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</si>
  <si>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</si>
  <si>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</si>
  <si>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</si>
  <si>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PERÍODO</t>
  </si>
  <si>
    <t>R$</t>
  </si>
  <si>
    <t>( - ) Vendas Canceladas e Descontos Incondicionais 2.2</t>
  </si>
  <si>
    <t>( - ) Imposto s/ Vendas e Serviços e Outras Deduções 2.3</t>
  </si>
  <si>
    <t>( + ) Receitas com Vendas e Serviços 2.1</t>
  </si>
  <si>
    <t>1º TRIMESTRE</t>
  </si>
  <si>
    <t>2º TRIMESTRE</t>
  </si>
  <si>
    <t>3º TRIMESTRE</t>
  </si>
  <si>
    <t>4º TRIMESTRE</t>
  </si>
  <si>
    <t>MESES</t>
  </si>
  <si>
    <t>CLASSIFICAÇÃO DE DRE</t>
  </si>
  <si>
    <t>TRIMESTRE</t>
  </si>
  <si>
    <t>ÚLTIMO MÊS</t>
  </si>
  <si>
    <t>...................................................................................</t>
  </si>
  <si>
    <t>SUB</t>
  </si>
  <si>
    <t xml:space="preserve">      </t>
  </si>
  <si>
    <t>ESPAÇO</t>
  </si>
  <si>
    <t>( = ) Receita Líquida</t>
  </si>
  <si>
    <t xml:space="preserve">( = ) Lucro Bruto </t>
  </si>
  <si>
    <t>( + ) Receitas Operacionais 2.5</t>
  </si>
  <si>
    <t>( - ) Despesas Operacionais 2.6</t>
  </si>
  <si>
    <t>(=) Resultado Antes das Receitas e Despesas Financeiras</t>
  </si>
  <si>
    <t>( =) Resultado do Período de Apuração</t>
  </si>
  <si>
    <t>( =) Resultado Antes dos Tributos sobre o Lucro</t>
  </si>
  <si>
    <t>( - ) Custo das Mercadorias e Serviços Vendidos 2.4</t>
  </si>
  <si>
    <t>Repasse Recebido 2.5(a)</t>
  </si>
  <si>
    <t>Outras Receitas Operacionais 2.5(b)</t>
  </si>
  <si>
    <t xml:space="preserve">Convênios 2.5(c) </t>
  </si>
  <si>
    <t>Despesas com Vendas 2.6(a)</t>
  </si>
  <si>
    <t>Despesas Administrativas 2.6(b)</t>
  </si>
  <si>
    <t>Despesas com Investimentos 2.6(c)</t>
  </si>
  <si>
    <t>( - ) Despesas Financeiras 2.8</t>
  </si>
  <si>
    <r>
      <t xml:space="preserve">( + ) Receitas Não Operacionais </t>
    </r>
    <r>
      <rPr>
        <vertAlign val="superscript"/>
        <sz val="11"/>
        <color theme="1"/>
        <rFont val="Calibri"/>
        <family val="2"/>
        <scheme val="minor"/>
      </rPr>
      <t>2.9</t>
    </r>
  </si>
  <si>
    <r>
      <t xml:space="preserve">( - ) Despesas Não Operacionais </t>
    </r>
    <r>
      <rPr>
        <vertAlign val="superscript"/>
        <sz val="11"/>
        <color theme="1"/>
        <rFont val="Calibri"/>
        <family val="2"/>
        <scheme val="minor"/>
      </rPr>
      <t>2.10</t>
    </r>
  </si>
  <si>
    <r>
      <t xml:space="preserve">( - ) Contribuição para Assistência ou Previdência de Empregados </t>
    </r>
    <r>
      <rPr>
        <vertAlign val="superscript"/>
        <sz val="11"/>
        <color theme="1"/>
        <rFont val="Calibri"/>
        <family val="2"/>
        <scheme val="minor"/>
      </rPr>
      <t>2.11</t>
    </r>
  </si>
  <si>
    <t>( =) Resultado Líquido do Exercício 2.12</t>
  </si>
  <si>
    <r>
      <t xml:space="preserve">( =) Resultado Líquido do Exercício </t>
    </r>
    <r>
      <rPr>
        <vertAlign val="superscript"/>
        <sz val="11"/>
        <color theme="1"/>
        <rFont val="Calibri"/>
        <family val="2"/>
        <scheme val="minor"/>
      </rPr>
      <t>2.12</t>
    </r>
  </si>
  <si>
    <r>
      <t xml:space="preserve">( + ) Receitas Financeiras </t>
    </r>
    <r>
      <rPr>
        <vertAlign val="superscript"/>
        <sz val="11"/>
        <color theme="1"/>
        <rFont val="Calibri"/>
        <family val="2"/>
        <scheme val="minor"/>
      </rPr>
      <t>2.7</t>
    </r>
  </si>
  <si>
    <t>x</t>
  </si>
  <si>
    <t xml:space="preserve">              </t>
  </si>
  <si>
    <t>...................................................................................................................</t>
  </si>
  <si>
    <t>( + ) Receitas Não Operacionais 2.9</t>
  </si>
  <si>
    <t>( - ) Despesas Não Operacionais 2.10</t>
  </si>
  <si>
    <t>( - ) Contribuição para Assistência ou Previdência de Empregados 2.11</t>
  </si>
  <si>
    <t>( + ) Receitas Financeiras 2.7</t>
  </si>
  <si>
    <t>13. SALARIO - RPPS</t>
  </si>
  <si>
    <t>AJUDA DE CUSTO</t>
  </si>
  <si>
    <t>DISTRIBUICAO DE MATERIAL GRATUITO</t>
  </si>
  <si>
    <t>VENDA DE ESTOQUES POR ATACADO</t>
  </si>
  <si>
    <t xml:space="preserve"> Exportar o arquivo do tesouro gerencial  conforme a figura abaixo: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</si>
</sst>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_ ;\-#,##0.00\ "/>
    <numFmt numFmtId="165" formatCode="#,##0.00_ ;\(#,##0.00\ \)"/>
  </numFmts>
  <fonts count="7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/>
    </xf>
    <xf numFmtId="164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9" xfId="0" applyFont="1" applyBorder="1" applyAlignment="1">
      <alignment horizontal="center" vertical="center"/>
    </xf>
    <xf numFmtId="0" fontId="2" fillId="0" borderId="1" xfId="0" applyFont="1" applyBorder="1"/>
    <xf numFmtId="0" fontId="2" fillId="0" borderId="4" xfId="0" applyFont="1" applyBorder="1"/>
    <xf numFmtId="0" fontId="2" fillId="0" borderId="6" xfId="0" applyFont="1" applyBorder="1"/>
    <xf numFmtId="165" fontId="2" fillId="0" borderId="11" xfId="0" applyNumberFormat="1" applyFont="1" applyBorder="1"/>
    <xf numFmtId="165" fontId="2" fillId="0" borderId="12" xfId="0" applyNumberFormat="1" applyFont="1" applyBorder="1"/>
    <xf numFmtId="0" fontId="2" fillId="0" borderId="12" xfId="0" applyFont="1" applyBorder="1"/>
    <xf numFmtId="165" fontId="2" fillId="0" borderId="13" xfId="0" applyNumberFormat="1" applyFont="1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0" fillId="0" borderId="0" xfId="0" applyAlignment="1">
      <alignment horizontal="center"/>
    </xf>
    <xf numFmtId="4" fontId="2" fillId="0" borderId="4" xfId="0" applyNumberFormat="1" applyFont="1" applyBorder="1"/>
    <xf numFmtId="0" fontId="4" fillId="2" borderId="10" xfId="0" applyFont="1" applyFill="1" applyBorder="1" applyAlignment="1" applyProtection="1">
      <alignment horizontal="center" vertical="center"/>
      <protection locked="0"/>
    </xf>
    <xf numFmtId="0" fontId="4" fillId="2" borderId="10" xfId="0" applyFont="1" applyFill="1" applyBorder="1" applyAlignment="1" applyProtection="1">
      <alignment horizontal="center" vertical="center" shrinkToFit="1"/>
      <protection locked="0"/>
    </xf>
    <xf numFmtId="0" fontId="4" fillId="2" borderId="10" xfId="0" quotePrefix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shrinkToFit="1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 shrinkToFit="1"/>
      <protection locked="0"/>
    </xf>
    <xf numFmtId="165" fontId="3" fillId="0" borderId="12" xfId="0" applyNumberFormat="1" applyFont="1" applyBorder="1"/>
    <xf numFmtId="0" fontId="3" fillId="0" borderId="4" xfId="0" applyFont="1" applyBorder="1"/>
    <xf numFmtId="0" fontId="0" fillId="0" borderId="0" xfId="0" applyNumberFormat="1"/>
    <xf numFmtId="9" fontId="0" fillId="0" borderId="0" xfId="1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83"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numFmt numFmtId="0" formatCode="General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64" formatCode="#,##0.00_ ;\-#,##0.00\ 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Calibri"/>
        <scheme val="none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vertical="bottom" textRotation="0" wrapText="0" indent="0" justifyLastLine="0" shrinkToFit="1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495299</xdr:colOff>
      <xdr:row>4</xdr:row>
      <xdr:rowOff>114300</xdr:rowOff>
    </xdr:from>
    <xdr:to>
      <xdr:col>5</xdr:col>
      <xdr:colOff>161924</xdr:colOff>
      <xdr:row>6</xdr:row>
      <xdr:rowOff>104775</xdr:rowOff>
    </xdr:to>
    <xdr:sp macro="[0]!importarDadosDRE" textlink="">
      <xdr:nvSpPr>
        <xdr:cNvPr id="2" name="Retângulo de cantos arredondados 1"/>
        <xdr:cNvSpPr/>
      </xdr:nvSpPr>
      <xdr:spPr>
        <a:xfrm>
          <a:off x="495299" y="876300"/>
          <a:ext cx="271462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Importar</a:t>
          </a:r>
          <a:r>
            <a:rPr lang="pt-BR" sz="1600" baseline="0"/>
            <a:t> Dados</a:t>
          </a:r>
          <a:endParaRPr lang="pt-BR" sz="1600"/>
        </a:p>
      </xdr:txBody>
    </xdr:sp>
    <xdr:clientData/>
  </xdr:twoCellAnchor>
  <xdr:twoCellAnchor editAs="oneCell">
    <xdr:from>
      <xdr:col>0</xdr:col>
      <xdr:colOff>85725</xdr:colOff>
      <xdr:row>12</xdr:row>
      <xdr:rowOff>47625</xdr:rowOff>
    </xdr:from>
    <xdr:to>
      <xdr:col>11</xdr:col>
      <xdr:colOff>542925</xdr:colOff>
      <xdr:row>30</xdr:row>
      <xdr:rowOff>19050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2333625"/>
          <a:ext cx="7162800" cy="340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77</xdr:row>
      <xdr:rowOff>54428</xdr:rowOff>
    </xdr:from>
    <xdr:ext cx="8572500" cy="609013"/>
    <xdr:sp macro="" textlink="">
      <xdr:nvSpPr>
        <xdr:cNvPr id="3" name="CaixaDeTexto 2"/>
        <xdr:cNvSpPr txBox="1"/>
      </xdr:nvSpPr>
      <xdr:spPr>
        <a:xfrm>
          <a:off x="3796393" y="15770678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MAURICIO ANTÔNIO LOPES		VANIA BEATRIZ RODRIGUES CASTIGLIONI</a:t>
          </a:r>
          <a:r>
            <a:rPr lang="pt-BR" sz="1100" baseline="0"/>
            <a:t> 		WALDYR STUMPF JUNIOR</a:t>
          </a:r>
          <a:endParaRPr lang="pt-BR" sz="1100"/>
        </a:p>
        <a:p>
          <a:r>
            <a:rPr lang="pt-BR" sz="1100"/>
            <a:t>Presidente			Diretora				Diretor</a:t>
          </a:r>
        </a:p>
        <a:p>
          <a:r>
            <a:rPr lang="pt-BR" sz="1100"/>
            <a:t>CPF: 277.340.486-68		CPF: 705.536.107-91			CPF: 133.688.930-68</a:t>
          </a:r>
        </a:p>
      </xdr:txBody>
    </xdr:sp>
    <xdr:clientData/>
  </xdr:oneCellAnchor>
  <xdr:oneCellAnchor>
    <xdr:from>
      <xdr:col>4</xdr:col>
      <xdr:colOff>0</xdr:colOff>
      <xdr:row>84</xdr:row>
      <xdr:rowOff>68036</xdr:rowOff>
    </xdr:from>
    <xdr:ext cx="8572500" cy="609013"/>
    <xdr:sp macro="" textlink="">
      <xdr:nvSpPr>
        <xdr:cNvPr id="5" name="CaixaDeTexto 4"/>
        <xdr:cNvSpPr txBox="1"/>
      </xdr:nvSpPr>
      <xdr:spPr>
        <a:xfrm>
          <a:off x="190500" y="17524763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LADISLAU MARTIN NETO		EDUARDO</a:t>
          </a:r>
          <a:r>
            <a:rPr lang="pt-BR" sz="1100" baseline="0"/>
            <a:t> CAPUTI			SUSY DARLEN BARROS DA PENHA</a:t>
          </a:r>
          <a:endParaRPr lang="pt-BR" sz="1100"/>
        </a:p>
        <a:p>
          <a:r>
            <a:rPr lang="pt-BR" sz="1100"/>
            <a:t>Diretor			Chefe do Depto. de Administração Financeira - DAF	Contadora - CRC/DF 007472/O-2</a:t>
          </a:r>
        </a:p>
        <a:p>
          <a:r>
            <a:rPr lang="pt-BR" sz="1100"/>
            <a:t>CPF: 015.598.808-56		CPF: 				CPF: 399.778.381-00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76</xdr:row>
      <xdr:rowOff>0</xdr:rowOff>
    </xdr:from>
    <xdr:ext cx="8572500" cy="609013"/>
    <xdr:sp macro="" textlink="">
      <xdr:nvSpPr>
        <xdr:cNvPr id="2" name="CaixaDeTexto 1"/>
        <xdr:cNvSpPr txBox="1"/>
      </xdr:nvSpPr>
      <xdr:spPr>
        <a:xfrm>
          <a:off x="3810000" y="14549438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MAURICIO ANTÔNIO LOPES		VANIA BEATRIZ RODRIGUES CASTIGLIONI</a:t>
          </a:r>
          <a:r>
            <a:rPr lang="pt-BR" sz="1100" baseline="0"/>
            <a:t> 		WALDYR STUMPF JUNIOR</a:t>
          </a:r>
          <a:endParaRPr lang="pt-BR" sz="1100"/>
        </a:p>
        <a:p>
          <a:r>
            <a:rPr lang="pt-BR" sz="1100"/>
            <a:t>Presidente			Diretora				Diretor</a:t>
          </a:r>
        </a:p>
        <a:p>
          <a:r>
            <a:rPr lang="pt-BR" sz="1100"/>
            <a:t>CPF: 277.340.486-68		CPF: 705.536.107-91			CPF: 133.688.930-68</a:t>
          </a:r>
        </a:p>
      </xdr:txBody>
    </xdr:sp>
    <xdr:clientData/>
  </xdr:oneCellAnchor>
  <xdr:oneCellAnchor>
    <xdr:from>
      <xdr:col>4</xdr:col>
      <xdr:colOff>0</xdr:colOff>
      <xdr:row>83</xdr:row>
      <xdr:rowOff>50880</xdr:rowOff>
    </xdr:from>
    <xdr:ext cx="8572500" cy="609013"/>
    <xdr:sp macro="" textlink="">
      <xdr:nvSpPr>
        <xdr:cNvPr id="3" name="CaixaDeTexto 2"/>
        <xdr:cNvSpPr txBox="1"/>
      </xdr:nvSpPr>
      <xdr:spPr>
        <a:xfrm>
          <a:off x="3810000" y="15933818"/>
          <a:ext cx="85725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100"/>
            <a:t>LADISLAU MARTIN NETO		EDUARDO</a:t>
          </a:r>
          <a:r>
            <a:rPr lang="pt-BR" sz="1100" baseline="0"/>
            <a:t> CAPUTI			SUSY DARLEN BARROS DA PENHA</a:t>
          </a:r>
          <a:endParaRPr lang="pt-BR" sz="1100"/>
        </a:p>
        <a:p>
          <a:r>
            <a:rPr lang="pt-BR" sz="1100"/>
            <a:t>Diretor			Chefe do Depto. de Administração Financeira - DAF	Contadora - CRC/DF 007472/O-2</a:t>
          </a:r>
        </a:p>
        <a:p>
          <a:r>
            <a:rPr lang="pt-BR" sz="1100"/>
            <a:t>CPF: 015.598.808-56		CPF: 				CPF: 399.778.381-00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b_DRETri" displayName="tb_DRETri" ref="B10:C72" totalsRowShown="0" headerRowDxfId="82" dataDxfId="81">
  <tableColumns count="2">
    <tableColumn id="1" name="Descrição Contas DRE" dataDxfId="80"/>
    <tableColumn id="2" name="SUB" dataDxfId="79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2" name="tb_DRETriAcum" displayName="tb_DRETriAcum" ref="B10:C70" totalsRowShown="0" headerRowDxfId="78">
  <tableColumns count="2">
    <tableColumn id="1" name="Descrição Contas DRE" dataDxfId="77"/>
    <tableColumn id="2" name="SUB" dataDxfId="76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9" name="tb_BaseDados" displayName="tb_BaseDados" ref="A1:S181" totalsRowShown="0" headerRowDxfId="75">
  <autoFilter ref="A1:S181"/>
  <tableColumns count="19">
    <tableColumn id="1" name="Conta Contábil" dataDxfId="46"/>
    <tableColumn id="2" name="Descrição"/>
    <tableColumn id="3" name="Classificação" dataDxfId="29">
      <calculatedColumnFormula>IF(NOT(ISERROR(VLOOKUP(tb_BaseDados[[#This Row],[Conta Contábil]],tb_ClassConta[[Conta Contábil]:[Classificação]],3,FALSE))),VLOOKUP(tb_BaseDados[[#This Row],[Conta Contábil]],tb_ClassConta[[Conta Contábil]:[Classificação]],3,FALSE),"FAVOR CLASSIFICAR!!!")</calculatedColumnFormula>
    </tableColumn>
    <tableColumn id="4" name="Janeiro" dataDxfId="45"/>
    <tableColumn id="5" name="Fevereiro" dataDxfId="44"/>
    <tableColumn id="6" name="Março" dataDxfId="43"/>
    <tableColumn id="7" name="Abril" dataDxfId="42"/>
    <tableColumn id="8" name="Maio" dataDxfId="41"/>
    <tableColumn id="9" name="Junho" dataDxfId="40"/>
    <tableColumn id="10" name="Julho" dataDxfId="39"/>
    <tableColumn id="11" name="Agosto" dataDxfId="38"/>
    <tableColumn id="12" name="Setembro" dataDxfId="37"/>
    <tableColumn id="13" name="Outubro" dataDxfId="36"/>
    <tableColumn id="14" name="Novembro" dataDxfId="35"/>
    <tableColumn id="15" name="Dezembro" dataDxfId="34"/>
    <tableColumn id="16" name="1º TRIMESTRE" dataDxfId="33">
      <calculatedColumnFormula>SUM(tb_BaseDados[[#This Row],[Janeiro]:[Março]])</calculatedColumnFormula>
    </tableColumn>
    <tableColumn id="17" name="2º TRIMESTRE" dataDxfId="32">
      <calculatedColumnFormula>SUM(tb_BaseDados[[#This Row],[Abril]:[Junho]])</calculatedColumnFormula>
    </tableColumn>
    <tableColumn id="18" name="3º TRIMESTRE" dataDxfId="31">
      <calculatedColumnFormula>SUM(tb_BaseDados[[#This Row],[Julho]:[Setembro]])</calculatedColumnFormula>
    </tableColumn>
    <tableColumn id="19" name="4º TRIMESTRE" dataDxfId="30">
      <calculatedColumnFormula>SUM(tb_BaseDados[[#This Row],[Outubro]:[Dezembro]])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b_BaseDados_Anterior" displayName="tb_BaseDados_Anterior" ref="A1:S247" totalsRowShown="0" headerRowDxfId="74">
  <autoFilter ref="A1:S247"/>
  <tableColumns count="19">
    <tableColumn id="1" name="Conta Contábil" dataDxfId="23"/>
    <tableColumn id="2" name="Descrição"/>
    <tableColumn id="3" name="Classificação" dataDxfId="6">
      <calculatedColumnFormula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calculatedColumnFormula>
    </tableColumn>
    <tableColumn id="4" name="Janeiro" dataDxfId="22"/>
    <tableColumn id="5" name="Fevereiro" dataDxfId="21"/>
    <tableColumn id="6" name="Março" dataDxfId="20"/>
    <tableColumn id="7" name="Abril" dataDxfId="19"/>
    <tableColumn id="8" name="Maio" dataDxfId="18"/>
    <tableColumn id="9" name="Junho" dataDxfId="17"/>
    <tableColumn id="10" name="Julho" dataDxfId="16"/>
    <tableColumn id="11" name="Agosto" dataDxfId="15"/>
    <tableColumn id="12" name="Setembro" dataDxfId="14"/>
    <tableColumn id="13" name="Outubro" dataDxfId="13"/>
    <tableColumn id="14" name="Novembro" dataDxfId="12"/>
    <tableColumn id="15" name="Dezembro" dataDxfId="11"/>
    <tableColumn id="16" name="1º TRIMESTRE" dataDxfId="10">
      <calculatedColumnFormula>SUM(tb_BaseDados_Anterior[[#This Row],[Janeiro]:[Março]])</calculatedColumnFormula>
    </tableColumn>
    <tableColumn id="17" name="2º TRIMESTRE" dataDxfId="9">
      <calculatedColumnFormula>SUM(tb_BaseDados_Anterior[[#This Row],[Abril]:[Junho]])</calculatedColumnFormula>
    </tableColumn>
    <tableColumn id="18" name="3º TRIMESTRE" dataDxfId="8">
      <calculatedColumnFormula>SUM(tb_BaseDados_Anterior[[#This Row],[Julho]:[Setembro]])</calculatedColumnFormula>
    </tableColumn>
    <tableColumn id="19" name="4º TRIMESTRE" dataDxfId="7">
      <calculatedColumnFormula>SUM(tb_BaseDados_Anterior[[#This Row],[Outubro]:[Dezembro]])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5" name="tb_ClassConta" displayName="tb_ClassConta" ref="A1:S257" totalsRowShown="0" headerRowDxfId="73">
  <autoFilter ref="A1:S257"/>
  <tableColumns count="19">
    <tableColumn id="1" name="Conta Contábil" dataDxfId="72"/>
    <tableColumn id="2" name="Descrição"/>
    <tableColumn id="3" name="Classificação"/>
    <tableColumn id="4" name="Janeiro" dataDxfId="7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5" name="Fevereiro" dataDxfId="70" dataCellStyle="Porcentagem">
      <calculatedColumnFormula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calculatedColumnFormula>
    </tableColumn>
    <tableColumn id="6" name="Março" dataDxfId="6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7" name="Abril" dataDxfId="68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8" name="Maio" dataDxfId="67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9" name="Junho" dataDxfId="66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0" name="Julho" dataDxfId="65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1" name="Agosto" dataDxfId="64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2" name="Setembro" dataDxfId="63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3" name="Outubro" dataDxfId="62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4" name="Novembro" dataDxfId="61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5" name="Dezembro" dataDxfId="60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6" name="1º TRIMESTRE" dataDxfId="59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7" name="2º TRIMESTRE" dataDxfId="58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8" name="3º TRIMESTRE" dataDxfId="57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  <tableColumn id="19" name="4º TRIMESTRE" dataDxfId="56" dataCellStyle="Porcentagem">
      <calculatedColumnFormula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6" name="tb_DescDRE" displayName="tb_DescDRE" ref="A1:A26" totalsRowShown="0" headerRowDxfId="55">
  <tableColumns count="1">
    <tableColumn id="2" name="CLASSIFICAÇÃO DE DRE" dataDxfId="54"/>
  </tableColumns>
  <tableStyleInfo name="TableStyleLight19" showFirstColumn="0" showLastColumn="0" showRowStripes="1" showColumnStripes="0"/>
</table>
</file>

<file path=xl/tables/table7.xml><?xml version="1.0" encoding="utf-8"?>
<table xmlns="http://schemas.openxmlformats.org/spreadsheetml/2006/main" id="7" name="tb_Mes" displayName="tb_Mes" ref="C1:C13" totalsRowShown="0" headerRowDxfId="53" dataDxfId="52">
  <autoFilter ref="C1:C13"/>
  <tableColumns count="1">
    <tableColumn id="1" name="MESES" dataDxfId="51"/>
  </tableColumns>
  <tableStyleInfo name="TableStyleLight19" showFirstColumn="0" showLastColumn="0" showRowStripes="1" showColumnStripes="0"/>
</table>
</file>

<file path=xl/tables/table8.xml><?xml version="1.0" encoding="utf-8"?>
<table xmlns="http://schemas.openxmlformats.org/spreadsheetml/2006/main" id="10" name="tb_Trimestre" displayName="tb_Trimestre" ref="E1:F5" totalsRowShown="0" headerRowDxfId="50" dataDxfId="49">
  <autoFilter ref="E1:F5"/>
  <tableColumns count="2">
    <tableColumn id="1" name="TRIMESTRE" dataDxfId="48"/>
    <tableColumn id="2" name="ÚLTIMO MÊS" dataDxfId="47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HOME"/>
  <dimension ref="A11"/>
  <sheetViews>
    <sheetView showGridLines="0" tabSelected="1" workbookViewId="0">
      <selection activeCell="K8" sqref="K8"/>
    </sheetView>
  </sheetViews>
  <sheetFormatPr defaultRowHeight="15" x14ac:dyDescent="0.25"/>
  <sheetData>
    <row r="11" spans="1:1" x14ac:dyDescent="0.25">
      <c r="A11" t="s">
        <v>289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5" tint="0.59999389629810485"/>
    <pageSetUpPr fitToPage="1"/>
  </sheetPr>
  <dimension ref="A1:K72"/>
  <sheetViews>
    <sheetView showGridLines="0" zoomScale="85" zoomScaleNormal="85" zoomScalePageLayoutView="55" workbookViewId="0"/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1" width="0" style="6" hidden="1" customWidth="1"/>
    <col min="12" max="16384" width="9.140625" style="6" hidden="1"/>
  </cols>
  <sheetData>
    <row r="1" spans="2:7" ht="16.5" thickBot="1" x14ac:dyDescent="0.3">
      <c r="B1" s="8" t="s">
        <v>240</v>
      </c>
      <c r="C1" s="25"/>
      <c r="E1" s="36" t="s">
        <v>223</v>
      </c>
      <c r="F1" s="37"/>
      <c r="G1" s="38"/>
    </row>
    <row r="2" spans="2:7" x14ac:dyDescent="0.25">
      <c r="B2" s="21" t="s">
        <v>245</v>
      </c>
      <c r="C2" s="25"/>
      <c r="E2" s="39" t="s">
        <v>224</v>
      </c>
      <c r="F2" s="40"/>
      <c r="G2" s="41"/>
    </row>
    <row r="3" spans="2:7" x14ac:dyDescent="0.25">
      <c r="C3" s="25"/>
      <c r="E3" s="33" t="s">
        <v>225</v>
      </c>
      <c r="F3" s="34"/>
      <c r="G3" s="35"/>
    </row>
    <row r="4" spans="2:7" ht="16.5" thickBot="1" x14ac:dyDescent="0.3">
      <c r="B4" s="8" t="s">
        <v>227</v>
      </c>
      <c r="C4" s="25"/>
      <c r="E4" s="36"/>
      <c r="F4" s="37"/>
      <c r="G4" s="38"/>
    </row>
    <row r="5" spans="2:7" x14ac:dyDescent="0.25">
      <c r="B5" s="22">
        <v>2016</v>
      </c>
      <c r="C5" s="25"/>
      <c r="E5" s="39" t="str">
        <f>"DEMONSTRAÇÃO DO RESULTADO DOS EXERCÍCIOS FINDOS EM " &amp; TEXT(EOMONTH(DATEVALUE("1/"&amp;VLOOKUP(PERIODO,tb_Trimestre[[TRIMESTRE]:[ÚLTIMO MÊS]],2,FALSE)&amp;"/"&amp;ANO),0),"dd") &amp; " DE " &amp; VLOOKUP(PERIODO,tb_Trimestre[[TRIMESTRE]:[ÚLTIMO MÊS]],2,FALSE) &amp; " DE " &amp; ANO &amp; " E " &amp; ANO-1</f>
        <v>DEMONSTRAÇÃO DO RESULTADO DOS EXERCÍCIOS FINDOS EM 31 DE MARÇO DE 2016 E 2015</v>
      </c>
      <c r="F5" s="40"/>
      <c r="G5" s="41"/>
    </row>
    <row r="6" spans="2:7" x14ac:dyDescent="0.25">
      <c r="C6" s="25"/>
      <c r="E6" s="33"/>
      <c r="F6" s="34"/>
      <c r="G6" s="35"/>
    </row>
    <row r="7" spans="2:7" ht="16.5" thickBot="1" x14ac:dyDescent="0.3">
      <c r="B7" s="8" t="s">
        <v>226</v>
      </c>
      <c r="C7" s="8" t="s">
        <v>256</v>
      </c>
      <c r="E7" s="9"/>
      <c r="F7" s="16"/>
      <c r="G7" s="16"/>
    </row>
    <row r="8" spans="2:7" x14ac:dyDescent="0.25">
      <c r="B8" s="23" t="s">
        <v>280</v>
      </c>
      <c r="C8" s="23" t="s">
        <v>279</v>
      </c>
      <c r="E8" s="10"/>
      <c r="F8" s="17" t="str">
        <f>VLOOKUP(PERIODO,tb_Trimestre[[TRIMESTRE]:[ÚLTIMO MÊS]],2,FALSE) &amp; " / " &amp; ANO</f>
        <v>MARÇO / 2016</v>
      </c>
      <c r="G8" s="17" t="str">
        <f>VLOOKUP(PERIODO,tb_Trimestre[[TRIMESTRE]:[ÚLTIMO MÊS]],2,FALSE) &amp; " / " &amp; ANO-1</f>
        <v>MARÇO / 2015</v>
      </c>
    </row>
    <row r="9" spans="2:7" x14ac:dyDescent="0.25">
      <c r="B9" s="6"/>
      <c r="C9" s="25"/>
      <c r="E9" s="10"/>
      <c r="F9" s="17" t="s">
        <v>241</v>
      </c>
      <c r="G9" s="17" t="s">
        <v>241</v>
      </c>
    </row>
    <row r="10" spans="2:7" x14ac:dyDescent="0.25">
      <c r="B10" s="26" t="s">
        <v>211</v>
      </c>
      <c r="C10" s="26" t="s">
        <v>254</v>
      </c>
      <c r="E10" s="10"/>
      <c r="F10" s="18"/>
      <c r="G10" s="18"/>
    </row>
    <row r="11" spans="2:7" x14ac:dyDescent="0.25">
      <c r="B11" s="24" t="s">
        <v>244</v>
      </c>
      <c r="C11" s="27"/>
      <c r="E11" s="10" t="str">
        <f>IF(tb_DRETri[[#This Row],[Descrição Contas DRE]]&lt;&gt;"",IF(tb_DRETri[[#This Row],[SUB]]&lt;&gt;"",ESPACO,"")&amp;tb_DRETri[[#This Row],[Descrição Contas DRE]]&amp;COMPLEMENTO,"")</f>
        <v>( + ) Receitas com Vendas e Serviços 2.1...................................................................................................................</v>
      </c>
      <c r="F11" s="12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1" s="12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2" spans="2:7" x14ac:dyDescent="0.25">
      <c r="B12" s="24"/>
      <c r="C12" s="27"/>
      <c r="E12" s="10" t="str">
        <f>IF(tb_DRETri[[#This Row],[Descrição Contas DRE]]&lt;&gt;"",IF(tb_DRETri[[#This Row],[SUB]]&lt;&gt;"",ESPACO,"")&amp;tb_DRETri[[#This Row],[Descrição Contas DRE]]&amp;COMPLEMENTO,"")</f>
        <v/>
      </c>
      <c r="F1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3" spans="2:7" x14ac:dyDescent="0.25">
      <c r="B13" s="24" t="s">
        <v>242</v>
      </c>
      <c r="C13" s="27"/>
      <c r="E13" s="10" t="str">
        <f>IF(tb_DRETri[[#This Row],[Descrição Contas DRE]]&lt;&gt;"",IF(tb_DRETri[[#This Row],[SUB]]&lt;&gt;"",ESPACO,"")&amp;tb_DRETri[[#This Row],[Descrição Contas DRE]]&amp;COMPLEMENTO,"")</f>
        <v>( - ) Vendas Canceladas e Descontos Incondicionais 2.2...................................................................................................................</v>
      </c>
      <c r="F1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14" spans="2:7" x14ac:dyDescent="0.25">
      <c r="B14" s="24"/>
      <c r="C14" s="27"/>
      <c r="E14" s="10" t="str">
        <f>IF(tb_DRETri[[#This Row],[Descrição Contas DRE]]&lt;&gt;"",IF(tb_DRETri[[#This Row],[SUB]]&lt;&gt;"",ESPACO,"")&amp;tb_DRETri[[#This Row],[Descrição Contas DRE]]&amp;COMPLEMENTO,"")</f>
        <v/>
      </c>
      <c r="F1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5" spans="2:7" x14ac:dyDescent="0.25">
      <c r="B15" s="24" t="s">
        <v>243</v>
      </c>
      <c r="C15" s="27"/>
      <c r="E15" s="10" t="str">
        <f>IF(tb_DRETri[[#This Row],[Descrição Contas DRE]]&lt;&gt;"",IF(tb_DRETri[[#This Row],[SUB]]&lt;&gt;"",ESPACO,"")&amp;tb_DRETri[[#This Row],[Descrição Contas DRE]]&amp;COMPLEMENTO,"")</f>
        <v>( - ) Imposto s/ Vendas e Serviços e Outras Deduções 2.3...................................................................................................................</v>
      </c>
      <c r="F1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DRE]]))))*-1,"")</f>
        <v>0</v>
      </c>
      <c r="G1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DRE]]))))*-1,"")</f>
        <v>0</v>
      </c>
    </row>
    <row r="16" spans="2:7" x14ac:dyDescent="0.25">
      <c r="B16" s="24"/>
      <c r="C16" s="27"/>
      <c r="E16" s="10" t="str">
        <f>IF(tb_DRETri[[#This Row],[Descrição Contas DRE]]&lt;&gt;"",IF(tb_DRETri[[#This Row],[SUB]]&lt;&gt;"",ESPACO,"")&amp;tb_DRETri[[#This Row],[Descrição Contas DRE]]&amp;COMPLEMENTO,"")</f>
        <v/>
      </c>
      <c r="F1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7" spans="2:7" x14ac:dyDescent="0.25">
      <c r="B17" s="24" t="s">
        <v>257</v>
      </c>
      <c r="C17" s="27"/>
      <c r="E17" s="29" t="str">
        <f>IF(tb_DRETri[[#This Row],[Descrição Contas DRE]]&lt;&gt;"",IF(tb_DRETri[[#This Row],[SUB]]&lt;&gt;"",ESPACO,"")&amp;tb_DRETri[[#This Row],[Descrição Contas DRE]]&amp;COMPLEMENTO,"")</f>
        <v>( = ) Receita Líquida...................................................................................................................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IF(tb_DRETri[[#This Row],[Descrição Contas DRE]]&lt;&gt;"",IF(tb_DRETri[[#This Row],[SUB]]&lt;&gt;"",ESPACO,"")&amp;tb_DRETri[[#This Row],[Descrição Contas DRE]]&amp;COMPLEMENTO,"")</f>
        <v/>
      </c>
      <c r="F1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1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19" spans="2:7" x14ac:dyDescent="0.25">
      <c r="B19" s="24" t="s">
        <v>264</v>
      </c>
      <c r="C19" s="27"/>
      <c r="E19" s="10" t="str">
        <f>IF(tb_DRETri[[#This Row],[Descrição Contas DRE]]&lt;&gt;"",IF(tb_DRETri[[#This Row],[SUB]]&lt;&gt;"",ESPACO,"")&amp;tb_DRETri[[#This Row],[Descrição Contas DRE]]&amp;COMPLEMENTO,"")</f>
        <v>( - ) Custo das Mercadorias e Serviços Vendidos 2.4...................................................................................................................</v>
      </c>
      <c r="F1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1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0" spans="2:7" x14ac:dyDescent="0.25">
      <c r="B20" s="24"/>
      <c r="C20" s="27"/>
      <c r="E20" s="10" t="str">
        <f>IF(tb_DRETri[[#This Row],[Descrição Contas DRE]]&lt;&gt;"",IF(tb_DRETri[[#This Row],[SUB]]&lt;&gt;"",ESPACO,"")&amp;tb_DRETri[[#This Row],[Descrição Contas DRE]]&amp;COMPLEMENTO,"")</f>
        <v/>
      </c>
      <c r="F2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1" spans="2:7" x14ac:dyDescent="0.25">
      <c r="B21" s="24" t="s">
        <v>258</v>
      </c>
      <c r="C21" s="27"/>
      <c r="E21" s="29" t="str">
        <f>IF(tb_DRETri[[#This Row],[Descrição Contas DRE]]&lt;&gt;"",IF(tb_DRETri[[#This Row],[SUB]]&lt;&gt;"",ESPACO,"")&amp;tb_DRETri[[#This Row],[Descrição Contas DRE]]&amp;COMPLEMENTO,"")</f>
        <v>( = ) Lucro Bruto ...................................................................................................................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/>
      <c r="F22" s="13"/>
      <c r="G22" s="13"/>
    </row>
    <row r="23" spans="2:7" x14ac:dyDescent="0.25">
      <c r="B23" s="24" t="s">
        <v>259</v>
      </c>
      <c r="C23" s="27"/>
      <c r="E23" s="10" t="str">
        <f>IF(tb_DRETri[[#This Row],[Descrição Contas DRE]]&lt;&gt;"",IF(tb_DRETri[[#This Row],[SUB]]&lt;&gt;"",ESPACO,"")&amp;tb_DRETri[[#This Row],[Descrição Contas DRE]]&amp;COMPLEMENTO,"")</f>
        <v>( + ) Receitas Operacionais 2.5...................................................................................................................</v>
      </c>
      <c r="F23" s="13">
        <f>SUM(F25:F29)</f>
        <v>0</v>
      </c>
      <c r="G23" s="13">
        <f>SUM(G25:G29)</f>
        <v>0</v>
      </c>
    </row>
    <row r="24" spans="2:7" x14ac:dyDescent="0.25">
      <c r="B24" s="24"/>
      <c r="C24" s="27"/>
      <c r="E24" s="10" t="str">
        <f>IF(tb_DRETri[[#This Row],[Descrição Contas DRE]]&lt;&gt;"",IF(tb_DRETri[[#This Row],[SUB]]&lt;&gt;"",ESPACO,"")&amp;tb_DRETri[[#This Row],[Descrição Contas DRE]]&amp;COMPLEMENTO,"")</f>
        <v/>
      </c>
      <c r="F24" s="14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5" spans="2:7" x14ac:dyDescent="0.25">
      <c r="B25" s="24" t="s">
        <v>265</v>
      </c>
      <c r="C25" s="27" t="s">
        <v>278</v>
      </c>
      <c r="E25" s="10" t="str">
        <f>IF(tb_DRETri[[#This Row],[Descrição Contas DRE]]&lt;&gt;"",IF(tb_DRETri[[#This Row],[SUB]]&lt;&gt;"",ESPACO,"")&amp;tb_DRETri[[#This Row],[Descrição Contas DRE]]&amp;COMPLEMENTO,"")</f>
        <v xml:space="preserve">              Repasse Recebido 2.5(a)...................................................................................................................</v>
      </c>
      <c r="F2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2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6" spans="2:7" x14ac:dyDescent="0.25">
      <c r="B26" s="24"/>
      <c r="C26" s="27"/>
      <c r="E26" s="10" t="str">
        <f>IF(tb_DRETri[[#This Row],[Descrição Contas DRE]]&lt;&gt;"",IF(tb_DRETri[[#This Row],[SUB]]&lt;&gt;"",ESPACO,"")&amp;tb_DRETri[[#This Row],[Descrição Contas DRE]]&amp;COMPLEMENTO,"")</f>
        <v/>
      </c>
      <c r="F2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7" spans="2:7" x14ac:dyDescent="0.25">
      <c r="B27" s="24" t="s">
        <v>266</v>
      </c>
      <c r="C27" s="27" t="s">
        <v>278</v>
      </c>
      <c r="E27" s="10" t="str">
        <f>IF(tb_DRETri[[#This Row],[Descrição Contas DRE]]&lt;&gt;"",IF(tb_DRETri[[#This Row],[SUB]]&lt;&gt;"",ESPACO,"")&amp;tb_DRETri[[#This Row],[Descrição Contas DRE]]&amp;COMPLEMENTO,"")</f>
        <v xml:space="preserve">              Outras Receitas Operacionais 2.5(b)...................................................................................................................</v>
      </c>
      <c r="F2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2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28" spans="2:7" x14ac:dyDescent="0.25">
      <c r="B28" s="24"/>
      <c r="C28" s="27"/>
      <c r="E28" s="10" t="str">
        <f>IF(tb_DRETri[[#This Row],[Descrição Contas DRE]]&lt;&gt;"",IF(tb_DRETri[[#This Row],[SUB]]&lt;&gt;"",ESPACO,"")&amp;tb_DRETri[[#This Row],[Descrição Contas DRE]]&amp;COMPLEMENTO,"")</f>
        <v/>
      </c>
      <c r="F2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2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29" spans="2:7" x14ac:dyDescent="0.25">
      <c r="B29" s="24" t="s">
        <v>267</v>
      </c>
      <c r="C29" s="27" t="s">
        <v>278</v>
      </c>
      <c r="E29" s="10" t="str">
        <f>IF(tb_DRETri[[#This Row],[Descrição Contas DRE]]&lt;&gt;"",IF(tb_DRETri[[#This Row],[SUB]]&lt;&gt;"",ESPACO,"")&amp;tb_DRETri[[#This Row],[Descrição Contas DRE]]&amp;COMPLEMENTO,"")</f>
        <v xml:space="preserve">              Convênios 2.5(c) ...................................................................................................................</v>
      </c>
      <c r="F29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29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0" spans="2:7" x14ac:dyDescent="0.25">
      <c r="B30" s="24"/>
      <c r="C30" s="27"/>
      <c r="E30" s="10" t="str">
        <f>IF(tb_DRETri[[#This Row],[Descrição Contas DRE]]&lt;&gt;"",IF(tb_DRETri[[#This Row],[SUB]]&lt;&gt;"",ESPACO,"")&amp;tb_DRETri[[#This Row],[Descrição Contas DRE]]&amp;COMPLEMENTO,"")</f>
        <v/>
      </c>
      <c r="F3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1" spans="2:7" x14ac:dyDescent="0.25">
      <c r="B31" s="24" t="s">
        <v>260</v>
      </c>
      <c r="C31" s="27"/>
      <c r="E31" s="10" t="str">
        <f>IF(tb_DRETri[[#This Row],[Descrição Contas DRE]]&lt;&gt;"",IF(tb_DRETri[[#This Row],[SUB]]&lt;&gt;"",ESPACO,"")&amp;tb_DRETri[[#This Row],[Descrição Contas DRE]]&amp;COMPLEMENTO,"")</f>
        <v>( - ) Despesas Operacionais 2.6...................................................................................................................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IF(tb_DRETri[[#This Row],[Descrição Contas DRE]]&lt;&gt;"",IF(tb_DRETri[[#This Row],[SUB]]&lt;&gt;"",ESPACO,"")&amp;tb_DRETri[[#This Row],[Descrição Contas DRE]]&amp;COMPLEMENTO,"")</f>
        <v/>
      </c>
      <c r="F3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3" spans="2:7" x14ac:dyDescent="0.25">
      <c r="B33" s="24" t="s">
        <v>268</v>
      </c>
      <c r="C33" s="27" t="s">
        <v>278</v>
      </c>
      <c r="E33" s="10" t="str">
        <f>IF(tb_DRETri[[#This Row],[Descrição Contas DRE]]&lt;&gt;"",IF(tb_DRETri[[#This Row],[SUB]]&lt;&gt;"",ESPACO,"")&amp;tb_DRETri[[#This Row],[Descrição Contas DRE]]&amp;COMPLEMENTO,"")</f>
        <v xml:space="preserve">              Despesas com Vendas 2.6(a)...................................................................................................................</v>
      </c>
      <c r="F3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4" spans="2:7" x14ac:dyDescent="0.25">
      <c r="B34" s="24"/>
      <c r="C34" s="27"/>
      <c r="E34" s="10" t="str">
        <f>IF(tb_DRETri[[#This Row],[Descrição Contas DRE]]&lt;&gt;"",IF(tb_DRETri[[#This Row],[SUB]]&lt;&gt;"",ESPACO,"")&amp;tb_DRETri[[#This Row],[Descrição Contas DRE]]&amp;COMPLEMENTO,"")</f>
        <v/>
      </c>
      <c r="F3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5" spans="2:7" x14ac:dyDescent="0.25">
      <c r="B35" s="24" t="s">
        <v>269</v>
      </c>
      <c r="C35" s="27" t="s">
        <v>278</v>
      </c>
      <c r="E35" s="10" t="str">
        <f>IF(tb_DRETri[[#This Row],[Descrição Contas DRE]]&lt;&gt;"",IF(tb_DRETri[[#This Row],[SUB]]&lt;&gt;"",ESPACO,"")&amp;tb_DRETri[[#This Row],[Descrição Contas DRE]]&amp;COMPLEMENTO,"")</f>
        <v xml:space="preserve">              Despesas Administrativas 2.6(b)...................................................................................................................</v>
      </c>
      <c r="F3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6" spans="2:7" x14ac:dyDescent="0.25">
      <c r="B36" s="24"/>
      <c r="C36" s="27"/>
      <c r="E36" s="10" t="str">
        <f>IF(tb_DRETri[[#This Row],[Descrição Contas DRE]]&lt;&gt;"",IF(tb_DRETri[[#This Row],[SUB]]&lt;&gt;"",ESPACO,"")&amp;tb_DRETri[[#This Row],[Descrição Contas DRE]]&amp;COMPLEMENTO,"")</f>
        <v/>
      </c>
      <c r="F3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7" spans="2:7" x14ac:dyDescent="0.25">
      <c r="B37" s="24" t="s">
        <v>270</v>
      </c>
      <c r="C37" s="27" t="s">
        <v>278</v>
      </c>
      <c r="E37" s="10" t="str">
        <f>IF(tb_DRETri[[#This Row],[Descrição Contas DRE]]&lt;&gt;"",IF(tb_DRETri[[#This Row],[SUB]]&lt;&gt;"",ESPACO,"")&amp;tb_DRETri[[#This Row],[Descrição Contas DRE]]&amp;COMPLEMENTO,"")</f>
        <v xml:space="preserve">              Despesas com Investimentos 2.6(c)...................................................................................................................</v>
      </c>
      <c r="F3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3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38" spans="2:7" x14ac:dyDescent="0.25">
      <c r="B38" s="24"/>
      <c r="C38" s="27"/>
      <c r="E38" s="10" t="str">
        <f>IF(tb_DRETri[[#This Row],[Descrição Contas DRE]]&lt;&gt;"",IF(tb_DRETri[[#This Row],[SUB]]&lt;&gt;"",ESPACO,"")&amp;tb_DRETri[[#This Row],[Descrição Contas DRE]]&amp;COMPLEMENTO,"")</f>
        <v/>
      </c>
      <c r="F3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3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39" spans="2:7" x14ac:dyDescent="0.25">
      <c r="B39" s="24" t="s">
        <v>261</v>
      </c>
      <c r="C39" s="27"/>
      <c r="E39" s="29" t="str">
        <f>IF(tb_DRETri[[#This Row],[Descrição Contas DRE]]&lt;&gt;"",IF(tb_DRETri[[#This Row],[SUB]]&lt;&gt;"",ESPACO,"")&amp;tb_DRETri[[#This Row],[Descrição Contas DRE]]&amp;COMPLEMENTO,"")</f>
        <v>(=) Resultado Antes das Receitas e Despesas Financeiras...................................................................................................................</v>
      </c>
      <c r="F39" s="28">
        <f>F21+F23-F31</f>
        <v>0</v>
      </c>
      <c r="G39" s="28">
        <f>G21+G23-G31</f>
        <v>0</v>
      </c>
    </row>
    <row r="40" spans="2:7" x14ac:dyDescent="0.25">
      <c r="B40" s="24"/>
      <c r="C40" s="27"/>
      <c r="E40" s="10" t="str">
        <f>IF(tb_DRETri[[#This Row],[Descrição Contas DRE]]&lt;&gt;"",IF(tb_DRETri[[#This Row],[SUB]]&lt;&gt;"",ESPACO,"")&amp;tb_DRETri[[#This Row],[Descrição Contas DRE]]&amp;COMPLEMENTO,"")</f>
        <v/>
      </c>
      <c r="F4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1" spans="2:7" x14ac:dyDescent="0.25">
      <c r="B41" s="24" t="s">
        <v>284</v>
      </c>
      <c r="C41" s="27"/>
      <c r="E41" s="10" t="str">
        <f>IF(tb_DRETri[[#This Row],[Descrição Contas DRE]]&lt;&gt;"",IF(tb_DRETri[[#This Row],[SUB]]&lt;&gt;"",ESPACO,"")&amp;tb_DRETri[[#This Row],[Descrição Contas DRE]]&amp;COMPLEMENTO,"")</f>
        <v>( + ) Receitas Financeiras 2.7...................................................................................................................</v>
      </c>
      <c r="F4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2" spans="2:7" x14ac:dyDescent="0.25">
      <c r="B42" s="24"/>
      <c r="C42" s="27"/>
      <c r="E42" s="10" t="str">
        <f>IF(tb_DRETri[[#This Row],[Descrição Contas DRE]]&lt;&gt;"",IF(tb_DRETri[[#This Row],[SUB]]&lt;&gt;"",ESPACO,"")&amp;tb_DRETri[[#This Row],[Descrição Contas DRE]]&amp;COMPLEMENTO,"")</f>
        <v/>
      </c>
      <c r="F4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3" spans="2:7" x14ac:dyDescent="0.25">
      <c r="B43" s="24" t="s">
        <v>271</v>
      </c>
      <c r="C43" s="27"/>
      <c r="E43" s="10" t="str">
        <f>IF(tb_DRETri[[#This Row],[Descrição Contas DRE]]&lt;&gt;"",IF(tb_DRETri[[#This Row],[SUB]]&lt;&gt;"",ESPACO,"")&amp;tb_DRETri[[#This Row],[Descrição Contas DRE]]&amp;COMPLEMENTO,"")</f>
        <v>( - ) Despesas Financeiras 2.8...................................................................................................................</v>
      </c>
      <c r="F43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3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4" spans="2:7" x14ac:dyDescent="0.25">
      <c r="B44" s="24"/>
      <c r="C44" s="27"/>
      <c r="E44" s="10" t="str">
        <f>IF(tb_DRETri[[#This Row],[Descrição Contas DRE]]&lt;&gt;"",IF(tb_DRETri[[#This Row],[SUB]]&lt;&gt;"",ESPACO,"")&amp;tb_DRETri[[#This Row],[Descrição Contas DRE]]&amp;COMPLEMENTO,"")</f>
        <v/>
      </c>
      <c r="F4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5" spans="2:7" x14ac:dyDescent="0.25">
      <c r="B45" s="24" t="s">
        <v>281</v>
      </c>
      <c r="C45" s="27"/>
      <c r="E45" s="10" t="str">
        <f>IF(tb_DRETri[[#This Row],[Descrição Contas DRE]]&lt;&gt;"",IF(tb_DRETri[[#This Row],[SUB]]&lt;&gt;"",ESPACO,"")&amp;tb_DRETri[[#This Row],[Descrição Contas DRE]]&amp;COMPLEMENTO,"")</f>
        <v>( + ) Receitas Não Operacionais 2.9...................................................................................................................</v>
      </c>
      <c r="F4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6" spans="2:7" x14ac:dyDescent="0.25">
      <c r="B46" s="24"/>
      <c r="C46" s="27"/>
      <c r="E46" s="10" t="str">
        <f>IF(tb_DRETri[[#This Row],[Descrição Contas DRE]]&lt;&gt;"",IF(tb_DRETri[[#This Row],[SUB]]&lt;&gt;"",ESPACO,"")&amp;tb_DRETri[[#This Row],[Descrição Contas DRE]]&amp;COMPLEMENTO,"")</f>
        <v/>
      </c>
      <c r="F4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7" spans="2:7" x14ac:dyDescent="0.25">
      <c r="B47" s="24" t="s">
        <v>282</v>
      </c>
      <c r="C47" s="27"/>
      <c r="E47" s="10" t="str">
        <f>IF(tb_DRETri[[#This Row],[Descrição Contas DRE]]&lt;&gt;"",IF(tb_DRETri[[#This Row],[SUB]]&lt;&gt;"",ESPACO,"")&amp;tb_DRETri[[#This Row],[Descrição Contas DRE]]&amp;COMPLEMENTO,"")</f>
        <v>( - ) Despesas Não Operacionais 2.10...................................................................................................................</v>
      </c>
      <c r="F4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4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48" spans="2:7" x14ac:dyDescent="0.25">
      <c r="B48" s="24"/>
      <c r="C48" s="27"/>
      <c r="E48" s="10" t="str">
        <f>IF(tb_DRETri[[#This Row],[Descrição Contas DRE]]&lt;&gt;"",IF(tb_DRETri[[#This Row],[SUB]]&lt;&gt;"",ESPACO,"")&amp;tb_DRETri[[#This Row],[Descrição Contas DRE]]&amp;COMPLEMENTO,"")</f>
        <v/>
      </c>
      <c r="F4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4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49" spans="2:7" x14ac:dyDescent="0.25">
      <c r="B49" s="24" t="s">
        <v>262</v>
      </c>
      <c r="C49" s="27"/>
      <c r="E49" s="29" t="str">
        <f>IF(tb_DRETri[[#This Row],[Descrição Contas DRE]]&lt;&gt;"",IF(tb_DRETri[[#This Row],[SUB]]&lt;&gt;"",ESPACO,"")&amp;tb_DRETri[[#This Row],[Descrição Contas DRE]]&amp;COMPLEMENTO,"")</f>
        <v>( =) Resultado do Período de Apuração...................................................................................................................</v>
      </c>
      <c r="F49" s="28">
        <f>F39+F41+F45-F43-F47</f>
        <v>0</v>
      </c>
      <c r="G49" s="28">
        <f>G39+G41+G45-G43-G47</f>
        <v>0</v>
      </c>
    </row>
    <row r="50" spans="2:7" x14ac:dyDescent="0.25">
      <c r="B50" s="24"/>
      <c r="C50" s="27"/>
      <c r="E50" s="10" t="str">
        <f>IF(tb_DRETri[[#This Row],[Descrição Contas DRE]]&lt;&gt;"",IF(tb_DRETri[[#This Row],[SUB]]&lt;&gt;"",ESPACO,"")&amp;tb_DRETri[[#This Row],[Descrição Contas DRE]]&amp;COMPLEMENTO,"")</f>
        <v/>
      </c>
      <c r="F5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1" spans="2:7" x14ac:dyDescent="0.25">
      <c r="B51" s="24" t="s">
        <v>283</v>
      </c>
      <c r="C51" s="27"/>
      <c r="E51" s="10" t="str">
        <f>IF(tb_DRETri[[#This Row],[Descrição Contas DRE]]&lt;&gt;"",IF(tb_DRETri[[#This Row],[SUB]]&lt;&gt;"",ESPACO,"")&amp;tb_DRETri[[#This Row],[Descrição Contas DRE]]&amp;COMPLEMENTO,"")</f>
        <v>( - ) Contribuição para Assistência ou Previdência de Empregados 2.11...................................................................................................................</v>
      </c>
      <c r="F51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1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2" spans="2:7" x14ac:dyDescent="0.25">
      <c r="B52" s="24"/>
      <c r="C52" s="27"/>
      <c r="E52" s="10" t="str">
        <f>IF(tb_DRETri[[#This Row],[Descrição Contas DRE]]&lt;&gt;"",IF(tb_DRETri[[#This Row],[SUB]]&lt;&gt;"",ESPACO,"")&amp;tb_DRETri[[#This Row],[Descrição Contas DRE]]&amp;COMPLEMENTO,"")</f>
        <v/>
      </c>
      <c r="F5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3" spans="2:7" x14ac:dyDescent="0.25">
      <c r="B53" s="24" t="s">
        <v>263</v>
      </c>
      <c r="C53" s="27"/>
      <c r="E53" s="29" t="str">
        <f>IF(tb_DRETri[[#This Row],[Descrição Contas DRE]]&lt;&gt;"",IF(tb_DRETri[[#This Row],[SUB]]&lt;&gt;"",ESPACO,"")&amp;tb_DRETri[[#This Row],[Descrição Contas DRE]]&amp;COMPLEMENTO,"")</f>
        <v>( =) Resultado Antes dos Tributos sobre o Lucro...................................................................................................................</v>
      </c>
      <c r="F53" s="28">
        <f>F49-F51</f>
        <v>0</v>
      </c>
      <c r="G53" s="28">
        <f>G49-G51</f>
        <v>0</v>
      </c>
    </row>
    <row r="54" spans="2:7" x14ac:dyDescent="0.25">
      <c r="B54" s="24"/>
      <c r="C54" s="27"/>
      <c r="E54" s="10" t="str">
        <f>IF(tb_DRETri[[#This Row],[Descrição Contas DRE]]&lt;&gt;"",IF(tb_DRETri[[#This Row],[SUB]]&lt;&gt;"",ESPACO,"")&amp;tb_DRETri[[#This Row],[Descrição Contas DRE]]&amp;COMPLEMENTO,"")</f>
        <v/>
      </c>
      <c r="F5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5" spans="2:7" x14ac:dyDescent="0.25">
      <c r="B55" s="24" t="s">
        <v>197</v>
      </c>
      <c r="C55" s="27"/>
      <c r="E55" s="10" t="str">
        <f>IF(tb_DRETri[[#This Row],[Descrição Contas DRE]]&lt;&gt;"",IF(tb_DRETri[[#This Row],[SUB]]&lt;&gt;"",ESPACO,"")&amp;tb_DRETri[[#This Row],[Descrição Contas DRE]]&amp;COMPLEMENTO,"")</f>
        <v>( - ) Contribuição Social sobre o Lucro...................................................................................................................</v>
      </c>
      <c r="F55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5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6" spans="2:7" x14ac:dyDescent="0.25">
      <c r="B56" s="24"/>
      <c r="C56" s="27"/>
      <c r="E56" s="10" t="str">
        <f>IF(tb_DRETri[[#This Row],[Descrição Contas DRE]]&lt;&gt;"",IF(tb_DRETri[[#This Row],[SUB]]&lt;&gt;"",ESPACO,"")&amp;tb_DRETri[[#This Row],[Descrição Contas DRE]]&amp;COMPLEMENTO,"")</f>
        <v/>
      </c>
      <c r="F5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7" spans="2:7" x14ac:dyDescent="0.25">
      <c r="B57" s="24" t="s">
        <v>198</v>
      </c>
      <c r="C57" s="27"/>
      <c r="E57" s="10" t="str">
        <f>IF(tb_DRETri[[#This Row],[Descrição Contas DRE]]&lt;&gt;"",IF(tb_DRETri[[#This Row],[SUB]]&lt;&gt;"",ESPACO,"")&amp;tb_DRETri[[#This Row],[Descrição Contas DRE]]&amp;COMPLEMENTO,"")</f>
        <v>( - ) Imposto de RendaPessoa Jurídica...................................................................................................................</v>
      </c>
      <c r="F57" s="13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>0</v>
      </c>
      <c r="G57" s="13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>0</v>
      </c>
    </row>
    <row r="58" spans="2:7" x14ac:dyDescent="0.25">
      <c r="B58" s="24"/>
      <c r="C58" s="27"/>
      <c r="E58" s="10" t="str">
        <f>IF(tb_DRETri[[#This Row],[Descrição Contas DRE]]&lt;&gt;"",IF(tb_DRETri[[#This Row],[SUB]]&lt;&gt;"",ESPACO,"")&amp;tb_DRETri[[#This Row],[Descrição Contas DRE]]&amp;COMPLEMENTO,"")</f>
        <v/>
      </c>
      <c r="F5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5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59" spans="2:7" x14ac:dyDescent="0.25">
      <c r="B59" s="24" t="s">
        <v>275</v>
      </c>
      <c r="C59" s="27"/>
      <c r="E59" s="29" t="str">
        <f>IF(tb_DRETri[[#This Row],[Descrição Contas DRE]]&lt;&gt;"",IF(tb_DRETri[[#This Row],[SUB]]&lt;&gt;"",ESPACO,"")&amp;tb_DRETri[[#This Row],[Descrição Contas DRE]]&amp;COMPLEMENTO,"")</f>
        <v>( =) Resultado Líquido do Exercício 2.12...................................................................................................................</v>
      </c>
      <c r="F59" s="28">
        <f>F53-F55-F57</f>
        <v>0</v>
      </c>
      <c r="G59" s="28">
        <f>G53-G55-G57</f>
        <v>0</v>
      </c>
    </row>
    <row r="60" spans="2:7" x14ac:dyDescent="0.25">
      <c r="B60" s="24"/>
      <c r="C60" s="27"/>
      <c r="E60" s="10" t="str">
        <f>IF(tb_DRETri[[#This Row],[Descrição Contas DRE]]&lt;&gt;"",IF(tb_DRETri[[#This Row],[SUB]]&lt;&gt;"",ESPACO,"")&amp;tb_DRETri[[#This Row],[Descrição Contas DRE]]&amp;COMPLEMENTO,"")</f>
        <v/>
      </c>
      <c r="F6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1" spans="2:7" x14ac:dyDescent="0.25">
      <c r="B61" s="24"/>
      <c r="C61" s="27"/>
      <c r="E61" s="10" t="str">
        <f>IF(tb_DRETri[[#This Row],[Descrição Contas DRE]]&lt;&gt;"",IF(tb_DRETri[[#This Row],[SUB]]&lt;&gt;"",ESPACO,"")&amp;tb_DRETri[[#This Row],[Descrição Contas DRE]]&amp;COMPLEMENTO,"")</f>
        <v/>
      </c>
      <c r="F6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2" spans="2:7" x14ac:dyDescent="0.25">
      <c r="B62" s="24"/>
      <c r="C62" s="27"/>
      <c r="E62" s="10" t="str">
        <f>IF(tb_DRETri[[#This Row],[Descrição Contas DRE]]&lt;&gt;"",IF(tb_DRETri[[#This Row],[SUB]]&lt;&gt;"",ESPACO,"")&amp;tb_DRETri[[#This Row],[Descrição Contas DRE]]&amp;COMPLEMENTO,"")</f>
        <v/>
      </c>
      <c r="F62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2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3" spans="2:7" x14ac:dyDescent="0.25">
      <c r="B63" s="24"/>
      <c r="C63" s="27"/>
      <c r="E63" s="10" t="str">
        <f>IF(tb_DRETri[[#This Row],[Descrição Contas DRE]]&lt;&gt;"",IF(tb_DRETri[[#This Row],[SUB]]&lt;&gt;"",ESPACO,"")&amp;tb_DRETri[[#This Row],[Descrição Contas DRE]]&amp;COMPLEMENTO,"")</f>
        <v/>
      </c>
      <c r="F63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3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4" spans="2:7" x14ac:dyDescent="0.25">
      <c r="B64" s="24"/>
      <c r="C64" s="27"/>
      <c r="E64" s="10" t="str">
        <f>IF(tb_DRETri[[#This Row],[Descrição Contas DRE]]&lt;&gt;"",IF(tb_DRETri[[#This Row],[SUB]]&lt;&gt;"",ESPACO,"")&amp;tb_DRETri[[#This Row],[Descrição Contas DRE]]&amp;COMPLEMENTO,"")</f>
        <v/>
      </c>
      <c r="F64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4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5" spans="2:7" x14ac:dyDescent="0.25">
      <c r="B65" s="24"/>
      <c r="C65" s="27"/>
      <c r="E65" s="10" t="str">
        <f>IF(tb_DRETri[[#This Row],[Descrição Contas DRE]]&lt;&gt;"",IF(tb_DRETri[[#This Row],[SUB]]&lt;&gt;"",ESPACO,"")&amp;tb_DRETri[[#This Row],[Descrição Contas DRE]]&amp;COMPLEMENTO,"")</f>
        <v/>
      </c>
      <c r="F65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5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6" spans="2:7" x14ac:dyDescent="0.25">
      <c r="B66" s="24"/>
      <c r="C66" s="27"/>
      <c r="E66" s="10" t="str">
        <f>IF(tb_DRETri[[#This Row],[Descrição Contas DRE]]&lt;&gt;"",IF(tb_DRETri[[#This Row],[SUB]]&lt;&gt;"",ESPACO,"")&amp;tb_DRETri[[#This Row],[Descrição Contas DRE]]&amp;COMPLEMENTO,"")</f>
        <v/>
      </c>
      <c r="F66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6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7" spans="2:7" x14ac:dyDescent="0.25">
      <c r="B67" s="24"/>
      <c r="C67" s="27"/>
      <c r="E67" s="10" t="str">
        <f>IF(tb_DRETri[[#This Row],[Descrição Contas DRE]]&lt;&gt;"",IF(tb_DRETri[[#This Row],[SUB]]&lt;&gt;"",ESPACO,"")&amp;tb_DRETri[[#This Row],[Descrição Contas DRE]]&amp;COMPLEMENTO,"")</f>
        <v/>
      </c>
      <c r="F67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7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8" spans="2:7" x14ac:dyDescent="0.25">
      <c r="B68" s="24"/>
      <c r="C68" s="27"/>
      <c r="E68" s="10" t="str">
        <f>IF(tb_DRETri[[#This Row],[Descrição Contas DRE]]&lt;&gt;"",IF(tb_DRETri[[#This Row],[SUB]]&lt;&gt;"",ESPACO,"")&amp;tb_DRETri[[#This Row],[Descrição Contas DRE]]&amp;COMPLEMENTO,"")</f>
        <v/>
      </c>
      <c r="F68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8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69" spans="2:7" x14ac:dyDescent="0.25">
      <c r="B69" s="24"/>
      <c r="C69" s="27"/>
      <c r="E69" s="10" t="str">
        <f>IF(tb_DRETri[[#This Row],[Descrição Contas DRE]]&lt;&gt;"",IF(tb_DRETri[[#This Row],[SUB]]&lt;&gt;"",ESPACO,"")&amp;tb_DRETri[[#This Row],[Descrição Contas DRE]]&amp;COMPLEMENTO,"")</f>
        <v/>
      </c>
      <c r="F69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69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0" spans="2:7" x14ac:dyDescent="0.25">
      <c r="B70" s="24"/>
      <c r="C70" s="27"/>
      <c r="E70" s="10" t="str">
        <f>IF(tb_DRETri[[#This Row],[Descrição Contas DRE]]&lt;&gt;"",IF(tb_DRETri[[#This Row],[SUB]]&lt;&gt;"",ESPACO,"")&amp;tb_DRETri[[#This Row],[Descrição Contas DRE]]&amp;COMPLEMENTO,"")</f>
        <v/>
      </c>
      <c r="F70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0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1" spans="2:7" x14ac:dyDescent="0.25">
      <c r="B71" s="24"/>
      <c r="C71" s="27"/>
      <c r="E71" s="10" t="str">
        <f>IF(tb_DRETri[[#This Row],[Descrição Contas DRE]]&lt;&gt;"",IF(tb_DRETri[[#This Row],[SUB]]&lt;&gt;"",ESPACO,"")&amp;tb_DRETri[[#This Row],[Descrição Contas DRE]]&amp;COMPLEMENTO,"")</f>
        <v/>
      </c>
      <c r="F71" s="13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1" s="13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  <row r="72" spans="2:7" x14ac:dyDescent="0.25">
      <c r="B72" s="24"/>
      <c r="C72" s="27"/>
      <c r="E72" s="11" t="str">
        <f>IF(tb_DRETri[[#This Row],[Descrição Contas DRE]]&lt;&gt;"",IF(tb_DRETri[[#This Row],[SUB]]&lt;&gt;"",ESPACO,"")&amp;tb_DRETri[[#This Row],[Descrição Contas DRE]]&amp;COMPLEMENTO,"")</f>
        <v/>
      </c>
      <c r="F72" s="15" t="str">
        <f>IF(tb_DRETri[[#This Row],[Descrição Contas DRE]]&lt;&gt;"",IF(PERIODO=TRIMESTRE_1,SUMIFS(tb_BaseDados[1º TRIMESTRE],tb_BaseDados[Classificação],tb_DRETri[[#This Row],[Descrição Contas DRE]]),IF(PERIODO=TRIMESTRE_2,SUMIFS(tb_BaseDados[2º TRIMESTRE],tb_BaseDados[Classificação],tb_DRETri[[#This Row],[Descrição Contas DRE]]),IF(PERIODO=TRIMESTRE_3,SUMIFS(tb_BaseDados[3º TRIMESTRE],tb_BaseDados[Classificação],tb_DRETri[[#This Row],[Descrição Contas DRE]]),SUMIFS(tb_BaseDados[4º TRIMESTRE],tb_BaseDados[Classificação],tb_DRETri[[#This Row],[Descrição Contas DRE]])))),"")</f>
        <v/>
      </c>
      <c r="G72" s="15" t="str">
        <f>IF(tb_DRETri[[#This Row],[Descrição Contas DRE]]&lt;&gt;"",IF(PERIODO=TRIMESTRE_1,SUMIFS(tb_BaseDados_Anterior[1º TRIMESTRE],tb_BaseDados_Anterior[Classificação],tb_DRETri[[#This Row],[Descrição Contas DRE]]),IF(PERIODO=TRIMESTRE_2,SUMIFS(tb_BaseDados_Anterior[2º TRIMESTRE],tb_BaseDados_Anterior[Classificação],tb_DRETri[[#This Row],[Descrição Contas DRE]]),IF(PERIODO=TRIMESTRE_3,SUMIFS(tb_BaseDados_Anterior[3º TRIMESTRE],tb_BaseDados_Anterior[Classificação],tb_DRETri[[#This Row],[Descrição Contas DRE]]),SUMIFS(tb_BaseDados_Anterior[4º TRIMESTRE],tb_BaseDados_Anterior[Classificação],tb_DRETri[[#This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disablePrompts="1" count="2">
    <dataValidation type="list" allowBlank="1" showInputMessage="1" showErrorMessage="1" sqref="B2">
      <formula1>lst_Trimestre</formula1>
    </dataValidation>
    <dataValidation type="list" allowBlank="1" showInputMessage="1" showErrorMessage="1" sqref="B11:B72 D13">
      <formula1>lst_DescDRE</formula1>
    </dataValidation>
  </dataValidations>
  <printOptions horizontalCentered="1"/>
  <pageMargins left="1.4678030303030303" right="0.78674242424242424" top="0.98425196850393704" bottom="0.78740157480314965" header="0.31496062992125984" footer="0.31496062992125984"/>
  <pageSetup paperSize="190" scale="60" orientation="portrait" r:id="rId1"/>
  <headerFooter>
    <oddHeader>&amp;C&amp;G</oddHeader>
    <oddFooter>&amp;LMinistério da Agricultura, Pecuária  
e Abastecimento - MAPA
&amp;CEmpresa Brasileira de Pesquisa Agropecuária 
EMBRAPA
Telefone (61) 3448-4433  Fax (61) 3347-1041&amp;RParque Estação Biológica PqEB Final W3 Norte
Brasília - CEP 70.770-901  
Caixa Postal 040315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5" tint="0.59999389629810485"/>
    <pageSetUpPr fitToPage="1"/>
  </sheetPr>
  <dimension ref="A1:L70"/>
  <sheetViews>
    <sheetView showGridLines="0" topLeftCell="A23" zoomScale="85" zoomScaleNormal="85" workbookViewId="0">
      <selection activeCell="E8" sqref="E8"/>
    </sheetView>
  </sheetViews>
  <sheetFormatPr defaultColWidth="0" defaultRowHeight="15.75" x14ac:dyDescent="0.25"/>
  <cols>
    <col min="1" max="1" width="2.7109375" style="6" customWidth="1"/>
    <col min="2" max="2" width="40.7109375" style="7" customWidth="1"/>
    <col min="3" max="3" width="10.7109375" style="7" customWidth="1"/>
    <col min="4" max="4" width="2.7109375" style="6" customWidth="1"/>
    <col min="5" max="5" width="75.7109375" style="6" customWidth="1"/>
    <col min="6" max="7" width="25.7109375" style="6" customWidth="1"/>
    <col min="8" max="8" width="2.7109375" style="6" customWidth="1"/>
    <col min="9" max="12" width="0" style="6" hidden="1" customWidth="1"/>
    <col min="13" max="16384" width="9.140625" style="6" hidden="1"/>
  </cols>
  <sheetData>
    <row r="1" spans="2:7" ht="16.5" thickBot="1" x14ac:dyDescent="0.3">
      <c r="B1" s="8" t="s">
        <v>240</v>
      </c>
      <c r="E1" s="36" t="s">
        <v>223</v>
      </c>
      <c r="F1" s="37"/>
      <c r="G1" s="38"/>
    </row>
    <row r="2" spans="2:7" x14ac:dyDescent="0.25">
      <c r="B2" s="21" t="s">
        <v>245</v>
      </c>
      <c r="E2" s="39" t="s">
        <v>224</v>
      </c>
      <c r="F2" s="40"/>
      <c r="G2" s="41"/>
    </row>
    <row r="3" spans="2:7" x14ac:dyDescent="0.25">
      <c r="E3" s="33" t="s">
        <v>225</v>
      </c>
      <c r="F3" s="34"/>
      <c r="G3" s="35"/>
    </row>
    <row r="4" spans="2:7" ht="16.5" thickBot="1" x14ac:dyDescent="0.3">
      <c r="B4" s="8" t="s">
        <v>227</v>
      </c>
      <c r="E4" s="36"/>
      <c r="F4" s="37"/>
      <c r="G4" s="38"/>
    </row>
    <row r="5" spans="2:7" x14ac:dyDescent="0.25">
      <c r="B5" s="22">
        <v>2016</v>
      </c>
      <c r="E5" s="39" t="str">
        <f>"DEMONSTRAÇÃO DO RESULTADO DOS EXERCÍCIOS FINDOS EM " &amp; TEXT(EOMONTH(DATEVALUE("1/"&amp;VLOOKUP(PERIODO_ACUM,tb_Trimestre[[TRIMESTRE]:[ÚLTIMO MÊS]],2,FALSE)&amp;"/"&amp;ANO_ACUM),0),"dd") &amp; " DE " &amp; VLOOKUP(PERIODO_ACUM,tb_Trimestre[[TRIMESTRE]:[ÚLTIMO MÊS]],2,FALSE) &amp; " DE " &amp; ANO_ACUM &amp; " E " &amp; ANO_ACUM-1</f>
        <v>DEMONSTRAÇÃO DO RESULTADO DOS EXERCÍCIOS FINDOS EM 31 DE MARÇO DE 2016 E 2015</v>
      </c>
      <c r="F5" s="40"/>
      <c r="G5" s="41"/>
    </row>
    <row r="6" spans="2:7" x14ac:dyDescent="0.25">
      <c r="E6" s="33"/>
      <c r="F6" s="34"/>
      <c r="G6" s="35"/>
    </row>
    <row r="7" spans="2:7" ht="16.5" thickBot="1" x14ac:dyDescent="0.3">
      <c r="B7" s="8" t="s">
        <v>226</v>
      </c>
      <c r="C7" s="8" t="s">
        <v>256</v>
      </c>
      <c r="E7" s="9"/>
      <c r="F7" s="16"/>
      <c r="G7" s="16"/>
    </row>
    <row r="8" spans="2:7" x14ac:dyDescent="0.25">
      <c r="B8" s="23" t="s">
        <v>253</v>
      </c>
      <c r="C8" s="23" t="s">
        <v>255</v>
      </c>
      <c r="E8" s="20"/>
      <c r="F8" s="17" t="str">
        <f>VLOOKUP(PERIODO_ACUM,tb_Trimestre[[TRIMESTRE]:[ÚLTIMO MÊS]],2,FALSE) &amp; " / " &amp; ANO_ACUM</f>
        <v>MARÇO / 2016</v>
      </c>
      <c r="G8" s="17" t="str">
        <f>VLOOKUP(PERIODO_ACUM,tb_Trimestre[[TRIMESTRE]:[ÚLTIMO MÊS]],2,FALSE) &amp; " / " &amp; ANO_ACUM-1</f>
        <v>MARÇO / 2015</v>
      </c>
    </row>
    <row r="9" spans="2:7" x14ac:dyDescent="0.25">
      <c r="B9" s="6"/>
      <c r="E9" s="10"/>
      <c r="F9" s="17" t="s">
        <v>241</v>
      </c>
      <c r="G9" s="17" t="s">
        <v>241</v>
      </c>
    </row>
    <row r="10" spans="2:7" x14ac:dyDescent="0.25">
      <c r="B10" s="26" t="s">
        <v>211</v>
      </c>
      <c r="C10" s="26" t="s">
        <v>254</v>
      </c>
      <c r="E10" s="10"/>
      <c r="F10" s="18"/>
      <c r="G10" s="18"/>
    </row>
    <row r="11" spans="2:7" x14ac:dyDescent="0.25">
      <c r="B11" s="24" t="s">
        <v>244</v>
      </c>
      <c r="C11" s="27"/>
      <c r="E11" s="10" t="str">
        <f>IF(tb_DRETriAcum[[#This Row],[Descrição Contas DRE]]&lt;&gt;"",IF(tb_DRETriAcum[[#This Row],[SUB]]&lt;&gt;"",ESPACO_ACUM,"")&amp;tb_DRETriAcum[[#This Row],[Descrição Contas DRE]]&amp;COMPLEMENTO_ACUM,"")</f>
        <v>( + ) Receitas com Vendas e Serviços 2.1...................................................................................</v>
      </c>
      <c r="F11" s="12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1" s="12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2" spans="2:7" x14ac:dyDescent="0.25">
      <c r="B12" s="24"/>
      <c r="C12" s="27"/>
      <c r="E12" s="10" t="str">
        <f>IF(tb_DRETriAcum[[#This Row],[Descrição Contas DRE]]&lt;&gt;"",IF(tb_DRETriAcum[[#This Row],[SUB]]&lt;&gt;"",ESPACO_ACUM,"")&amp;tb_DRETriAcum[[#This Row],[Descrição Contas DRE]]&amp;COMPLEMENTO_ACUM,"")</f>
        <v/>
      </c>
      <c r="F1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3" spans="2:7" x14ac:dyDescent="0.25">
      <c r="B13" s="24" t="s">
        <v>242</v>
      </c>
      <c r="C13" s="27"/>
      <c r="E13" s="10" t="str">
        <f>IF(tb_DRETriAcum[[#This Row],[Descrição Contas DRE]]&lt;&gt;"",IF(tb_DRETriAcum[[#This Row],[SUB]]&lt;&gt;"",ESPACO_ACUM,"")&amp;tb_DRETriAcum[[#This Row],[Descrição Contas DRE]]&amp;COMPLEMENTO_ACUM,"")</f>
        <v>( - ) Vendas Canceladas e Descontos Incondicionais 2.2...................................................................................</v>
      </c>
      <c r="F1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14" spans="2:7" x14ac:dyDescent="0.25">
      <c r="B14" s="24"/>
      <c r="C14" s="27"/>
      <c r="E14" s="10" t="str">
        <f>IF(tb_DRETriAcum[[#This Row],[Descrição Contas DRE]]&lt;&gt;"",IF(tb_DRETriAcum[[#This Row],[SUB]]&lt;&gt;"",ESPACO_ACUM,"")&amp;tb_DRETriAcum[[#This Row],[Descrição Contas DRE]]&amp;COMPLEMENTO_ACUM,"")</f>
        <v/>
      </c>
      <c r="F1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5" spans="2:7" x14ac:dyDescent="0.25">
      <c r="B15" s="24" t="s">
        <v>243</v>
      </c>
      <c r="C15" s="27"/>
      <c r="E15" s="10" t="str">
        <f>IF(tb_DRETriAcum[[#This Row],[Descrição Contas DRE]]&lt;&gt;"",IF(tb_DRETriAcum[[#This Row],[SUB]]&lt;&gt;"",ESPACO_ACUM,"")&amp;tb_DRETriAcum[[#This Row],[Descrição Contas DRE]]&amp;COMPLEMENTO_ACUM,"")</f>
        <v>( - ) Imposto s/ Vendas e Serviços e Outras Deduções 2.3...................................................................................</v>
      </c>
      <c r="F1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DRE]]))))*-1,"")</f>
        <v>0</v>
      </c>
      <c r="G1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DRE]]))))*-1,"")</f>
        <v>0</v>
      </c>
    </row>
    <row r="16" spans="2:7" x14ac:dyDescent="0.25">
      <c r="B16" s="24"/>
      <c r="C16" s="27"/>
      <c r="E16" s="10" t="str">
        <f>IF(tb_DRETriAcum[[#This Row],[Descrição Contas DRE]]&lt;&gt;"",IF(tb_DRETriAcum[[#This Row],[SUB]]&lt;&gt;"",ESPACO_ACUM,"")&amp;tb_DRETriAcum[[#This Row],[Descrição Contas DRE]]&amp;COMPLEMENTO_ACUM,"")</f>
        <v/>
      </c>
      <c r="F1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7" spans="2:7" x14ac:dyDescent="0.25">
      <c r="B17" s="24" t="s">
        <v>257</v>
      </c>
      <c r="C17" s="27"/>
      <c r="E17" s="29" t="str">
        <f>IF(tb_DRETriAcum[[#This Row],[Descrição Contas DRE]]&lt;&gt;"",IF(tb_DRETriAcum[[#This Row],[SUB]]&lt;&gt;"",ESPACO_ACUM,"")&amp;tb_DRETriAcum[[#This Row],[Descrição Contas DRE]]&amp;COMPLEMENTO_ACUM,"")</f>
        <v>( = ) Receita Líquida...................................................................................</v>
      </c>
      <c r="F17" s="28">
        <f>F11-F13-F15</f>
        <v>0</v>
      </c>
      <c r="G17" s="28">
        <f>G11-G13-G15</f>
        <v>0</v>
      </c>
    </row>
    <row r="18" spans="2:7" x14ac:dyDescent="0.25">
      <c r="B18" s="24"/>
      <c r="C18" s="27"/>
      <c r="E18" s="10" t="str">
        <f>IF(tb_DRETriAcum[[#This Row],[Descrição Contas DRE]]&lt;&gt;"",IF(tb_DRETriAcum[[#This Row],[SUB]]&lt;&gt;"",ESPACO_ACUM,"")&amp;tb_DRETriAcum[[#This Row],[Descrição Contas DRE]]&amp;COMPLEMENTO_ACUM,"")</f>
        <v/>
      </c>
      <c r="F1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1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19" spans="2:7" x14ac:dyDescent="0.25">
      <c r="B19" s="24" t="s">
        <v>264</v>
      </c>
      <c r="C19" s="27"/>
      <c r="E19" s="10" t="str">
        <f>IF(tb_DRETriAcum[[#This Row],[Descrição Contas DRE]]&lt;&gt;"",IF(tb_DRETriAcum[[#This Row],[SUB]]&lt;&gt;"",ESPACO_ACUM,"")&amp;tb_DRETriAcum[[#This Row],[Descrição Contas DRE]]&amp;COMPLEMENTO_ACUM,"")</f>
        <v>( - ) Custo das Mercadorias e Serviços Vendidos 2.4...................................................................................</v>
      </c>
      <c r="F1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1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0" spans="2:7" x14ac:dyDescent="0.25">
      <c r="B20" s="24"/>
      <c r="C20" s="27"/>
      <c r="E20" s="10" t="str">
        <f>IF(tb_DRETriAcum[[#This Row],[Descrição Contas DRE]]&lt;&gt;"",IF(tb_DRETriAcum[[#This Row],[SUB]]&lt;&gt;"",ESPACO_ACUM,"")&amp;tb_DRETriAcum[[#This Row],[Descrição Contas DRE]]&amp;COMPLEMENTO_ACUM,"")</f>
        <v/>
      </c>
      <c r="F2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1" spans="2:7" x14ac:dyDescent="0.25">
      <c r="B21" s="24" t="s">
        <v>258</v>
      </c>
      <c r="C21" s="27"/>
      <c r="E21" s="29" t="str">
        <f>IF(tb_DRETriAcum[[#This Row],[Descrição Contas DRE]]&lt;&gt;"",IF(tb_DRETriAcum[[#This Row],[SUB]]&lt;&gt;"",ESPACO_ACUM,"")&amp;tb_DRETriAcum[[#This Row],[Descrição Contas DRE]]&amp;COMPLEMENTO_ACUM,"")</f>
        <v>( = ) Lucro Bruto ...................................................................................</v>
      </c>
      <c r="F21" s="28">
        <f>F17-F19</f>
        <v>0</v>
      </c>
      <c r="G21" s="28">
        <f>G17-G19</f>
        <v>0</v>
      </c>
    </row>
    <row r="22" spans="2:7" x14ac:dyDescent="0.25">
      <c r="B22" s="24"/>
      <c r="C22" s="27"/>
      <c r="E22" s="10" t="str">
        <f>IF(tb_DRETriAcum[[#This Row],[Descrição Contas DRE]]&lt;&gt;"",IF(tb_DRETriAcum[[#This Row],[SUB]]&lt;&gt;"",ESPACO_ACUM,"")&amp;tb_DRETriAcum[[#This Row],[Descrição Contas DRE]]&amp;COMPLEMENTO_ACUM,"")</f>
        <v/>
      </c>
      <c r="F22" s="14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3" spans="2:7" x14ac:dyDescent="0.25">
      <c r="B23" s="24" t="s">
        <v>259</v>
      </c>
      <c r="C23" s="27"/>
      <c r="E23" s="10" t="str">
        <f>IF(tb_DRETriAcum[[#This Row],[Descrição Contas DRE]]&lt;&gt;"",IF(tb_DRETriAcum[[#This Row],[SUB]]&lt;&gt;"",ESPACO_ACUM,"")&amp;tb_DRETriAcum[[#This Row],[Descrição Contas DRE]]&amp;COMPLEMENTO_ACUM,"")</f>
        <v>( + ) Receitas Operacionais 2.5...................................................................................</v>
      </c>
      <c r="F23" s="13">
        <f>SUM(F25:F29)</f>
        <v>0</v>
      </c>
      <c r="G23" s="13">
        <f>SUM(G25:G29)</f>
        <v>0</v>
      </c>
    </row>
    <row r="24" spans="2:7" x14ac:dyDescent="0.25">
      <c r="B24" s="24"/>
      <c r="C24" s="27"/>
      <c r="E24" s="10" t="str">
        <f>IF(tb_DRETriAcum[[#This Row],[Descrição Contas DRE]]&lt;&gt;"",IF(tb_DRETriAcum[[#This Row],[SUB]]&lt;&gt;"",ESPACO_ACUM,"")&amp;tb_DRETriAcum[[#This Row],[Descrição Contas DRE]]&amp;COMPLEMENTO_ACUM,"")</f>
        <v/>
      </c>
      <c r="F2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5" spans="2:7" x14ac:dyDescent="0.25">
      <c r="B25" s="24" t="s">
        <v>265</v>
      </c>
      <c r="C25" s="27" t="s">
        <v>278</v>
      </c>
      <c r="E2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Repasse Recebido 2.5(a)...................................................................................</v>
      </c>
      <c r="F2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2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6" spans="2:7" x14ac:dyDescent="0.25">
      <c r="B26" s="24"/>
      <c r="C26" s="27"/>
      <c r="E26" s="10" t="str">
        <f>IF(tb_DRETriAcum[[#This Row],[Descrição Contas DRE]]&lt;&gt;"",IF(tb_DRETriAcum[[#This Row],[SUB]]&lt;&gt;"",ESPACO_ACUM,"")&amp;tb_DRETriAcum[[#This Row],[Descrição Contas DRE]]&amp;COMPLEMENTO_ACUM,"")</f>
        <v/>
      </c>
      <c r="F2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7" spans="2:7" x14ac:dyDescent="0.25">
      <c r="B27" s="24" t="s">
        <v>266</v>
      </c>
      <c r="C27" s="27" t="s">
        <v>278</v>
      </c>
      <c r="E2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Outras Receitas Operacionais 2.5(b)...................................................................................</v>
      </c>
      <c r="F2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2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28" spans="2:7" x14ac:dyDescent="0.25">
      <c r="B28" s="24"/>
      <c r="C28" s="27"/>
      <c r="E28" s="10" t="str">
        <f>IF(tb_DRETriAcum[[#This Row],[Descrição Contas DRE]]&lt;&gt;"",IF(tb_DRETriAcum[[#This Row],[SUB]]&lt;&gt;"",ESPACO_ACUM,"")&amp;tb_DRETriAcum[[#This Row],[Descrição Contas DRE]]&amp;COMPLEMENTO_ACUM,"")</f>
        <v/>
      </c>
      <c r="F2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2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29" spans="2:7" x14ac:dyDescent="0.25">
      <c r="B29" s="24" t="s">
        <v>267</v>
      </c>
      <c r="C29" s="27" t="s">
        <v>278</v>
      </c>
      <c r="E29" s="10" t="str">
        <f>IF(tb_DRETriAcum[[#This Row],[Descrição Contas DRE]]&lt;&gt;"",IF(tb_DRETriAcum[[#This Row],[SUB]]&lt;&gt;"",ESPACO_ACUM,"")&amp;tb_DRETriAcum[[#This Row],[Descrição Contas DRE]]&amp;COMPLEMENTO_ACUM,"")</f>
        <v xml:space="preserve">      Convênios 2.5(c) ...................................................................................</v>
      </c>
      <c r="F29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29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0" spans="2:7" x14ac:dyDescent="0.25">
      <c r="B30" s="24"/>
      <c r="C30" s="27"/>
      <c r="E30" s="10" t="str">
        <f>IF(tb_DRETriAcum[[#This Row],[Descrição Contas DRE]]&lt;&gt;"",IF(tb_DRETriAcum[[#This Row],[SUB]]&lt;&gt;"",ESPACO_ACUM,"")&amp;tb_DRETriAcum[[#This Row],[Descrição Contas DRE]]&amp;COMPLEMENTO_ACUM,"")</f>
        <v/>
      </c>
      <c r="F3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1" spans="2:7" x14ac:dyDescent="0.25">
      <c r="B31" s="24" t="s">
        <v>260</v>
      </c>
      <c r="C31" s="27"/>
      <c r="E31" s="10" t="str">
        <f>IF(tb_DRETriAcum[[#This Row],[Descrição Contas DRE]]&lt;&gt;"",IF(tb_DRETriAcum[[#This Row],[SUB]]&lt;&gt;"",ESPACO_ACUM,"")&amp;tb_DRETriAcum[[#This Row],[Descrição Contas DRE]]&amp;COMPLEMENTO_ACUM,"")</f>
        <v>( - ) Despesas Operacionais 2.6...................................................................................</v>
      </c>
      <c r="F31" s="13">
        <f>SUM(F33:F37)</f>
        <v>0</v>
      </c>
      <c r="G31" s="13">
        <f>SUM(G33:G37)</f>
        <v>0</v>
      </c>
    </row>
    <row r="32" spans="2:7" x14ac:dyDescent="0.25">
      <c r="B32" s="24"/>
      <c r="C32" s="27"/>
      <c r="E32" s="10" t="str">
        <f>IF(tb_DRETriAcum[[#This Row],[Descrição Contas DRE]]&lt;&gt;"",IF(tb_DRETriAcum[[#This Row],[SUB]]&lt;&gt;"",ESPACO_ACUM,"")&amp;tb_DRETriAcum[[#This Row],[Descrição Contas DRE]]&amp;COMPLEMENTO_ACUM,"")</f>
        <v/>
      </c>
      <c r="F3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3" spans="2:7" x14ac:dyDescent="0.25">
      <c r="B33" s="24" t="s">
        <v>268</v>
      </c>
      <c r="C33" s="27" t="s">
        <v>278</v>
      </c>
      <c r="E33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Vendas 2.6(a)...................................................................................</v>
      </c>
      <c r="F3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4" spans="2:7" x14ac:dyDescent="0.25">
      <c r="B34" s="24"/>
      <c r="C34" s="27"/>
      <c r="E34" s="10" t="str">
        <f>IF(tb_DRETriAcum[[#This Row],[Descrição Contas DRE]]&lt;&gt;"",IF(tb_DRETriAcum[[#This Row],[SUB]]&lt;&gt;"",ESPACO_ACUM,"")&amp;tb_DRETriAcum[[#This Row],[Descrição Contas DRE]]&amp;COMPLEMENTO_ACUM,"")</f>
        <v/>
      </c>
      <c r="F3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5" spans="2:7" x14ac:dyDescent="0.25">
      <c r="B35" s="24" t="s">
        <v>269</v>
      </c>
      <c r="C35" s="27" t="s">
        <v>278</v>
      </c>
      <c r="E35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Administrativas 2.6(b)...................................................................................</v>
      </c>
      <c r="F3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6" spans="2:7" x14ac:dyDescent="0.25">
      <c r="B36" s="24"/>
      <c r="C36" s="27"/>
      <c r="E36" s="10" t="str">
        <f>IF(tb_DRETriAcum[[#This Row],[Descrição Contas DRE]]&lt;&gt;"",IF(tb_DRETriAcum[[#This Row],[SUB]]&lt;&gt;"",ESPACO_ACUM,"")&amp;tb_DRETriAcum[[#This Row],[Descrição Contas DRE]]&amp;COMPLEMENTO_ACUM,"")</f>
        <v/>
      </c>
      <c r="F3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7" spans="2:7" x14ac:dyDescent="0.25">
      <c r="B37" s="24" t="s">
        <v>270</v>
      </c>
      <c r="C37" s="27" t="s">
        <v>278</v>
      </c>
      <c r="E37" s="10" t="str">
        <f>IF(tb_DRETriAcum[[#This Row],[Descrição Contas DRE]]&lt;&gt;"",IF(tb_DRETriAcum[[#This Row],[SUB]]&lt;&gt;"",ESPACO_ACUM,"")&amp;tb_DRETriAcum[[#This Row],[Descrição Contas DRE]]&amp;COMPLEMENTO_ACUM,"")</f>
        <v xml:space="preserve">      Despesas com Investimentos 2.6(c)...................................................................................</v>
      </c>
      <c r="F3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3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38" spans="2:7" x14ac:dyDescent="0.25">
      <c r="B38" s="24"/>
      <c r="C38" s="27"/>
      <c r="E38" s="10" t="str">
        <f>IF(tb_DRETriAcum[[#This Row],[Descrição Contas DRE]]&lt;&gt;"",IF(tb_DRETriAcum[[#This Row],[SUB]]&lt;&gt;"",ESPACO_ACUM,"")&amp;tb_DRETriAcum[[#This Row],[Descrição Contas DRE]]&amp;COMPLEMENTO_ACUM,"")</f>
        <v/>
      </c>
      <c r="F3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3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39" spans="2:7" x14ac:dyDescent="0.25">
      <c r="B39" s="24" t="s">
        <v>261</v>
      </c>
      <c r="C39" s="27"/>
      <c r="E39" s="29" t="str">
        <f>IF(tb_DRETriAcum[[#This Row],[Descrição Contas DRE]]&lt;&gt;"",IF(tb_DRETriAcum[[#This Row],[SUB]]&lt;&gt;"",ESPACO_ACUM,"")&amp;tb_DRETriAcum[[#This Row],[Descrição Contas DRE]]&amp;COMPLEMENTO_ACUM,"")</f>
        <v>(=) Resultado Antes das Receitas e Despesas Financeiras...................................................................................</v>
      </c>
      <c r="F39" s="28">
        <f>F21+F23-F31</f>
        <v>0</v>
      </c>
      <c r="G39" s="28">
        <f>G21+G23-G31</f>
        <v>0</v>
      </c>
    </row>
    <row r="40" spans="2:7" x14ac:dyDescent="0.25">
      <c r="B40" s="24"/>
      <c r="C40" s="27"/>
      <c r="E40" s="10" t="str">
        <f>IF(tb_DRETriAcum[[#This Row],[Descrição Contas DRE]]&lt;&gt;"",IF(tb_DRETriAcum[[#This Row],[SUB]]&lt;&gt;"",ESPACO_ACUM,"")&amp;tb_DRETriAcum[[#This Row],[Descrição Contas DRE]]&amp;COMPLEMENTO_ACUM,"")</f>
        <v/>
      </c>
      <c r="F4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1" spans="2:7" x14ac:dyDescent="0.25">
      <c r="B41" s="24" t="s">
        <v>284</v>
      </c>
      <c r="C41" s="27"/>
      <c r="E41" s="10" t="str">
        <f>IF(tb_DRETriAcum[[#This Row],[Descrição Contas DRE]]&lt;&gt;"",IF(tb_DRETriAcum[[#This Row],[SUB]]&lt;&gt;"",ESPACO_ACUM,"")&amp;tb_DRETriAcum[[#This Row],[Descrição Contas DRE]]&amp;COMPLEMENTO_ACUM,"")</f>
        <v>( + ) Receitas Financeiras 2.7...................................................................................</v>
      </c>
      <c r="F4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2" spans="2:7" x14ac:dyDescent="0.25">
      <c r="B42" s="24"/>
      <c r="C42" s="27"/>
      <c r="E42" s="10" t="str">
        <f>IF(tb_DRETriAcum[[#This Row],[Descrição Contas DRE]]&lt;&gt;"",IF(tb_DRETriAcum[[#This Row],[SUB]]&lt;&gt;"",ESPACO_ACUM,"")&amp;tb_DRETriAcum[[#This Row],[Descrição Contas DRE]]&amp;COMPLEMENTO_ACUM,"")</f>
        <v/>
      </c>
      <c r="F4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3" spans="2:7" x14ac:dyDescent="0.25">
      <c r="B43" s="24" t="s">
        <v>271</v>
      </c>
      <c r="C43" s="27"/>
      <c r="E43" s="10" t="str">
        <f>IF(tb_DRETriAcum[[#This Row],[Descrição Contas DRE]]&lt;&gt;"",IF(tb_DRETriAcum[[#This Row],[SUB]]&lt;&gt;"",ESPACO_ACUM,"")&amp;tb_DRETriAcum[[#This Row],[Descrição Contas DRE]]&amp;COMPLEMENTO_ACUM,"")</f>
        <v>( - ) Despesas Financeiras 2.8...................................................................................</v>
      </c>
      <c r="F43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3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4" spans="2:7" x14ac:dyDescent="0.25">
      <c r="B44" s="24"/>
      <c r="C44" s="27"/>
      <c r="E44" s="10" t="str">
        <f>IF(tb_DRETriAcum[[#This Row],[Descrição Contas DRE]]&lt;&gt;"",IF(tb_DRETriAcum[[#This Row],[SUB]]&lt;&gt;"",ESPACO_ACUM,"")&amp;tb_DRETriAcum[[#This Row],[Descrição Contas DRE]]&amp;COMPLEMENTO_ACUM,"")</f>
        <v/>
      </c>
      <c r="F4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5" spans="2:7" x14ac:dyDescent="0.25">
      <c r="B45" s="24" t="s">
        <v>281</v>
      </c>
      <c r="C45" s="27"/>
      <c r="E45" s="10" t="str">
        <f>IF(tb_DRETriAcum[[#This Row],[Descrição Contas DRE]]&lt;&gt;"",IF(tb_DRETriAcum[[#This Row],[SUB]]&lt;&gt;"",ESPACO_ACUM,"")&amp;tb_DRETriAcum[[#This Row],[Descrição Contas DRE]]&amp;COMPLEMENTO_ACUM,"")</f>
        <v>( + ) Receitas Não Operacionais 2.9...................................................................................</v>
      </c>
      <c r="F4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6" spans="2:7" x14ac:dyDescent="0.25">
      <c r="B46" s="24"/>
      <c r="C46" s="27"/>
      <c r="E46" s="10" t="str">
        <f>IF(tb_DRETriAcum[[#This Row],[Descrição Contas DRE]]&lt;&gt;"",IF(tb_DRETriAcum[[#This Row],[SUB]]&lt;&gt;"",ESPACO_ACUM,"")&amp;tb_DRETriAcum[[#This Row],[Descrição Contas DRE]]&amp;COMPLEMENTO_ACUM,"")</f>
        <v/>
      </c>
      <c r="F4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7" spans="2:7" x14ac:dyDescent="0.25">
      <c r="B47" s="24" t="s">
        <v>282</v>
      </c>
      <c r="C47" s="27"/>
      <c r="E47" s="10" t="str">
        <f>IF(tb_DRETriAcum[[#This Row],[Descrição Contas DRE]]&lt;&gt;"",IF(tb_DRETriAcum[[#This Row],[SUB]]&lt;&gt;"",ESPACO_ACUM,"")&amp;tb_DRETriAcum[[#This Row],[Descrição Contas DRE]]&amp;COMPLEMENTO_ACUM,"")</f>
        <v>( - ) Despesas Não Operacionais 2.10...................................................................................</v>
      </c>
      <c r="F4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4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48" spans="2:7" x14ac:dyDescent="0.25">
      <c r="B48" s="24"/>
      <c r="C48" s="27"/>
      <c r="E48" s="10" t="str">
        <f>IF(tb_DRETriAcum[[#This Row],[Descrição Contas DRE]]&lt;&gt;"",IF(tb_DRETriAcum[[#This Row],[SUB]]&lt;&gt;"",ESPACO_ACUM,"")&amp;tb_DRETriAcum[[#This Row],[Descrição Contas DRE]]&amp;COMPLEMENTO_ACUM,"")</f>
        <v/>
      </c>
      <c r="F4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4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49" spans="2:7" x14ac:dyDescent="0.25">
      <c r="B49" s="24" t="s">
        <v>262</v>
      </c>
      <c r="C49" s="27"/>
      <c r="E49" s="29" t="str">
        <f>IF(tb_DRETriAcum[[#This Row],[Descrição Contas DRE]]&lt;&gt;"",IF(tb_DRETriAcum[[#This Row],[SUB]]&lt;&gt;"",ESPACO_ACUM,"")&amp;tb_DRETriAcum[[#This Row],[Descrição Contas DRE]]&amp;COMPLEMENTO_ACUM,"")</f>
        <v>( =) Resultado do Período de Apuração...................................................................................</v>
      </c>
      <c r="F49" s="28">
        <f>F39+F41+F45-F43-F47</f>
        <v>0</v>
      </c>
      <c r="G49" s="28">
        <f>G39+G45+G41-G43-G47</f>
        <v>0</v>
      </c>
    </row>
    <row r="50" spans="2:7" x14ac:dyDescent="0.25">
      <c r="B50" s="24"/>
      <c r="C50" s="27"/>
      <c r="E50" s="10" t="str">
        <f>IF(tb_DRETriAcum[[#This Row],[Descrição Contas DRE]]&lt;&gt;"",IF(tb_DRETriAcum[[#This Row],[SUB]]&lt;&gt;"",ESPACO_ACUM,"")&amp;tb_DRETriAcum[[#This Row],[Descrição Contas DRE]]&amp;COMPLEMENTO_ACUM,"")</f>
        <v/>
      </c>
      <c r="F5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1" spans="2:7" x14ac:dyDescent="0.25">
      <c r="B51" s="24" t="s">
        <v>283</v>
      </c>
      <c r="C51" s="27"/>
      <c r="E51" s="10" t="str">
        <f>IF(tb_DRETriAcum[[#This Row],[Descrição Contas DRE]]&lt;&gt;"",IF(tb_DRETriAcum[[#This Row],[SUB]]&lt;&gt;"",ESPACO_ACUM,"")&amp;tb_DRETriAcum[[#This Row],[Descrição Contas DRE]]&amp;COMPLEMENTO_ACUM,"")</f>
        <v>( - ) Contribuição para Assistência ou Previdência de Empregados 2.11...................................................................................</v>
      </c>
      <c r="F51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1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2" spans="2:7" x14ac:dyDescent="0.25">
      <c r="B52" s="24"/>
      <c r="C52" s="27"/>
      <c r="E52" s="10" t="str">
        <f>IF(tb_DRETriAcum[[#This Row],[Descrição Contas DRE]]&lt;&gt;"",IF(tb_DRETriAcum[[#This Row],[SUB]]&lt;&gt;"",ESPACO_ACUM,"")&amp;tb_DRETriAcum[[#This Row],[Descrição Contas DRE]]&amp;COMPLEMENTO_ACUM,"")</f>
        <v/>
      </c>
      <c r="F5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3" spans="2:7" x14ac:dyDescent="0.25">
      <c r="B53" s="24" t="s">
        <v>263</v>
      </c>
      <c r="C53" s="27"/>
      <c r="E53" s="29" t="str">
        <f>IF(tb_DRETriAcum[[#This Row],[Descrição Contas DRE]]&lt;&gt;"",IF(tb_DRETriAcum[[#This Row],[SUB]]&lt;&gt;"",ESPACO_ACUM,"")&amp;tb_DRETriAcum[[#This Row],[Descrição Contas DRE]]&amp;COMPLEMENTO_ACUM,"")</f>
        <v>( =) Resultado Antes dos Tributos sobre o Lucro...................................................................................</v>
      </c>
      <c r="F53" s="28">
        <f>F49-F51</f>
        <v>0</v>
      </c>
      <c r="G53" s="28">
        <f>G49-G51</f>
        <v>0</v>
      </c>
    </row>
    <row r="54" spans="2:7" x14ac:dyDescent="0.25">
      <c r="B54" s="24"/>
      <c r="C54" s="27"/>
      <c r="E54" s="10" t="str">
        <f>IF(tb_DRETriAcum[[#This Row],[Descrição Contas DRE]]&lt;&gt;"",IF(tb_DRETriAcum[[#This Row],[SUB]]&lt;&gt;"",ESPACO_ACUM,"")&amp;tb_DRETriAcum[[#This Row],[Descrição Contas DRE]]&amp;COMPLEMENTO_ACUM,"")</f>
        <v/>
      </c>
      <c r="F5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5" spans="2:7" x14ac:dyDescent="0.25">
      <c r="B55" s="24" t="s">
        <v>197</v>
      </c>
      <c r="C55" s="27"/>
      <c r="E55" s="10" t="str">
        <f>IF(tb_DRETriAcum[[#This Row],[Descrição Contas DRE]]&lt;&gt;"",IF(tb_DRETriAcum[[#This Row],[SUB]]&lt;&gt;"",ESPACO_ACUM,"")&amp;tb_DRETriAcum[[#This Row],[Descrição Contas DRE]]&amp;COMPLEMENTO_ACUM,"")</f>
        <v>( - ) Contribuição Social sobre o Lucro...................................................................................</v>
      </c>
      <c r="F55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5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6" spans="2:7" x14ac:dyDescent="0.25">
      <c r="B56" s="24"/>
      <c r="C56" s="27"/>
      <c r="E56" s="10" t="str">
        <f>IF(tb_DRETriAcum[[#This Row],[Descrição Contas DRE]]&lt;&gt;"",IF(tb_DRETriAcum[[#This Row],[SUB]]&lt;&gt;"",ESPACO_ACUM,"")&amp;tb_DRETriAcum[[#This Row],[Descrição Contas DRE]]&amp;COMPLEMENTO_ACUM,"")</f>
        <v/>
      </c>
      <c r="F5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7" spans="2:7" x14ac:dyDescent="0.25">
      <c r="B57" s="24" t="s">
        <v>198</v>
      </c>
      <c r="C57" s="27"/>
      <c r="E57" s="10" t="str">
        <f>IF(tb_DRETriAcum[[#This Row],[Descrição Contas DRE]]&lt;&gt;"",IF(tb_DRETriAcum[[#This Row],[SUB]]&lt;&gt;"",ESPACO_ACUM,"")&amp;tb_DRETriAcum[[#This Row],[Descrição Contas DRE]]&amp;COMPLEMENTO_ACUM,"")</f>
        <v>( - ) Imposto de RendaPessoa Jurídica...................................................................................</v>
      </c>
      <c r="F57" s="13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>0</v>
      </c>
      <c r="G57" s="13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>0</v>
      </c>
    </row>
    <row r="58" spans="2:7" x14ac:dyDescent="0.25">
      <c r="B58" s="24"/>
      <c r="C58" s="27"/>
      <c r="E58" s="10" t="str">
        <f>IF(tb_DRETriAcum[[#This Row],[Descrição Contas DRE]]&lt;&gt;"",IF(tb_DRETriAcum[[#This Row],[SUB]]&lt;&gt;"",ESPACO_ACUM,"")&amp;tb_DRETriAcum[[#This Row],[Descrição Contas DRE]]&amp;COMPLEMENTO_ACUM,"")</f>
        <v/>
      </c>
      <c r="F5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5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59" spans="2:7" x14ac:dyDescent="0.25">
      <c r="B59" s="24" t="s">
        <v>275</v>
      </c>
      <c r="C59" s="27"/>
      <c r="E59" s="29" t="str">
        <f>IF(tb_DRETriAcum[[#This Row],[Descrição Contas DRE]]&lt;&gt;"",IF(tb_DRETriAcum[[#This Row],[SUB]]&lt;&gt;"",ESPACO_ACUM,"")&amp;tb_DRETriAcum[[#This Row],[Descrição Contas DRE]]&amp;COMPLEMENTO_ACUM,"")</f>
        <v>( =) Resultado Líquido do Exercício 2.12...................................................................................</v>
      </c>
      <c r="F59" s="28">
        <f>F53-F55-F57</f>
        <v>0</v>
      </c>
      <c r="G59" s="28">
        <f>G53-G55-G57</f>
        <v>0</v>
      </c>
    </row>
    <row r="60" spans="2:7" x14ac:dyDescent="0.25">
      <c r="B60" s="24"/>
      <c r="C60" s="27"/>
      <c r="E60" s="10" t="str">
        <f>IF(tb_DRETriAcum[[#This Row],[Descrição Contas DRE]]&lt;&gt;"",IF(tb_DRETriAcum[[#This Row],[SUB]]&lt;&gt;"",ESPACO_ACUM,"")&amp;tb_DRETriAcum[[#This Row],[Descrição Contas DRE]]&amp;COMPLEMENTO_ACUM,"")</f>
        <v/>
      </c>
      <c r="F60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0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1" spans="2:7" x14ac:dyDescent="0.25">
      <c r="B61" s="24"/>
      <c r="C61" s="27"/>
      <c r="E61" s="10" t="str">
        <f>IF(tb_DRETriAcum[[#This Row],[Descrição Contas DRE]]&lt;&gt;"",IF(tb_DRETriAcum[[#This Row],[SUB]]&lt;&gt;"",ESPACO_ACUM,"")&amp;tb_DRETriAcum[[#This Row],[Descrição Contas DRE]]&amp;COMPLEMENTO_ACUM,"")</f>
        <v/>
      </c>
      <c r="F61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1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2" spans="2:7" x14ac:dyDescent="0.25">
      <c r="B62" s="24"/>
      <c r="C62" s="27"/>
      <c r="E62" s="10" t="str">
        <f>IF(tb_DRETriAcum[[#This Row],[Descrição Contas DRE]]&lt;&gt;"",IF(tb_DRETriAcum[[#This Row],[SUB]]&lt;&gt;"",ESPACO_ACUM,"")&amp;tb_DRETriAcum[[#This Row],[Descrição Contas DRE]]&amp;COMPLEMENTO_ACUM,"")</f>
        <v/>
      </c>
      <c r="F62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2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3" spans="2:7" x14ac:dyDescent="0.25">
      <c r="B63" s="24"/>
      <c r="C63" s="27"/>
      <c r="E63" s="10" t="str">
        <f>IF(tb_DRETriAcum[[#This Row],[Descrição Contas DRE]]&lt;&gt;"",IF(tb_DRETriAcum[[#This Row],[SUB]]&lt;&gt;"",ESPACO_ACUM,"")&amp;tb_DRETriAcum[[#This Row],[Descrição Contas DRE]]&amp;COMPLEMENTO_ACUM,"")</f>
        <v/>
      </c>
      <c r="F63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3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4" spans="2:7" x14ac:dyDescent="0.25">
      <c r="B64" s="24"/>
      <c r="C64" s="27"/>
      <c r="E64" s="10" t="str">
        <f>IF(tb_DRETriAcum[[#This Row],[Descrição Contas DRE]]&lt;&gt;"",IF(tb_DRETriAcum[[#This Row],[SUB]]&lt;&gt;"",ESPACO_ACUM,"")&amp;tb_DRETriAcum[[#This Row],[Descrição Contas DRE]]&amp;COMPLEMENTO_ACUM,"")</f>
        <v/>
      </c>
      <c r="F64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4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5" spans="2:7" x14ac:dyDescent="0.25">
      <c r="B65" s="24"/>
      <c r="C65" s="27"/>
      <c r="E65" s="10" t="str">
        <f>IF(tb_DRETriAcum[[#This Row],[Descrição Contas DRE]]&lt;&gt;"",IF(tb_DRETriAcum[[#This Row],[SUB]]&lt;&gt;"",ESPACO_ACUM,"")&amp;tb_DRETriAcum[[#This Row],[Descrição Contas DRE]]&amp;COMPLEMENTO_ACUM,"")</f>
        <v/>
      </c>
      <c r="F65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5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6" spans="2:7" x14ac:dyDescent="0.25">
      <c r="B66" s="24"/>
      <c r="C66" s="27"/>
      <c r="E66" s="10" t="str">
        <f>IF(tb_DRETriAcum[[#This Row],[Descrição Contas DRE]]&lt;&gt;"",IF(tb_DRETriAcum[[#This Row],[SUB]]&lt;&gt;"",ESPACO_ACUM,"")&amp;tb_DRETriAcum[[#This Row],[Descrição Contas DRE]]&amp;COMPLEMENTO_ACUM,"")</f>
        <v/>
      </c>
      <c r="F66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6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7" spans="2:7" x14ac:dyDescent="0.25">
      <c r="B67" s="24"/>
      <c r="C67" s="27"/>
      <c r="E67" s="10" t="str">
        <f>IF(tb_DRETriAcum[[#This Row],[Descrição Contas DRE]]&lt;&gt;"",IF(tb_DRETriAcum[[#This Row],[SUB]]&lt;&gt;"",ESPACO_ACUM,"")&amp;tb_DRETriAcum[[#This Row],[Descrição Contas DRE]]&amp;COMPLEMENTO_ACUM,"")</f>
        <v/>
      </c>
      <c r="F67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7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8" spans="2:7" x14ac:dyDescent="0.25">
      <c r="B68" s="24"/>
      <c r="C68" s="27"/>
      <c r="E68" s="10" t="str">
        <f>IF(tb_DRETriAcum[[#This Row],[Descrição Contas DRE]]&lt;&gt;"",IF(tb_DRETriAcum[[#This Row],[SUB]]&lt;&gt;"",ESPACO_ACUM,"")&amp;tb_DRETriAcum[[#This Row],[Descrição Contas DRE]]&amp;COMPLEMENTO_ACUM,"")</f>
        <v/>
      </c>
      <c r="F68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8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69" spans="2:7" x14ac:dyDescent="0.25">
      <c r="B69" s="24"/>
      <c r="C69" s="27"/>
      <c r="E69" s="10" t="str">
        <f>IF(tb_DRETriAcum[[#This Row],[Descrição Contas DRE]]&lt;&gt;"",IF(tb_DRETriAcum[[#This Row],[SUB]]&lt;&gt;"",ESPACO_ACUM,"")&amp;tb_DRETriAcum[[#This Row],[Descrição Contas DRE]]&amp;COMPLEMENTO_ACUM,"")</f>
        <v/>
      </c>
      <c r="F69" s="13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69" s="13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  <row r="70" spans="2:7" x14ac:dyDescent="0.25">
      <c r="B70" s="24"/>
      <c r="C70" s="27"/>
      <c r="E70" s="11" t="str">
        <f>IF(tb_DRETriAcum[[#This Row],[Descrição Contas DRE]]&lt;&gt;"",IF(tb_DRETriAcum[[#This Row],[SUB]]&lt;&gt;"",ESPACO_ACUM,"")&amp;tb_DRETriAcum[[#This Row],[Descrição Contas DRE]]&amp;COMPLEMENTO_ACUM,"")</f>
        <v/>
      </c>
      <c r="F70" s="15" t="str">
        <f>IF(tb_DRETriAcum[[#This Row],[Descrição Contas DRE]]&lt;&gt;"",
IF(PERIODO_ACUM=TRIMESTRE_1,SUMIFS(tb_BaseDados[1º TRIMESTRE],tb_BaseDados[Classificação],tb_DRETriAcum[[#This Row],[Descrição Contas DRE]]),
IF(PERIODO_ACUM=TRIMESTRE_2,SUMIFS(tb_BaseDados[2º TRIMESTRE],tb_BaseDados[Classificação],tb_DRETriAcum[[#This Row],[Descrição Contas DRE]])+SUMIFS(tb_BaseDados[1º TRIMESTRE],tb_BaseDados[Classificação],tb_DRETriAcum[[#This Row],[Descrição Contas DRE]]),
IF(PERIODO_ACUM=TRIMESTRE_3,SUMIFS(tb_BaseDados[3º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DRE]]),
SUMIFS(tb_BaseDados[4º TRIMESTRE],tb_BaseDados[Classificação],tb_DRETriAcum[[#This Row],[Descrição Contas DRE]])+SUMIFS(tb_BaseDados[3º TRIMESTRE],tb_BaseDados[Classificação],tb_DRETriAcum[[#This Row],[Descrição Contas DRE]])+SUMIFS(tb_BaseDados[2º TRIMESTRE],tb_BaseDados[Classificação],tb_DRETriAcum[[#This Row],[Descrição Contas DRE]])+SUMIFS(tb_BaseDados[1º TRIMESTRE],tb_BaseDados[Classificação],tb_DRETriAcum[[#This Row],[Descrição Contas DRE]])))),"")</f>
        <v/>
      </c>
      <c r="G70" s="15" t="str">
        <f>IF(tb_DRETriAcum[[#This Row],[Descrição Contas DRE]]&lt;&gt;"",
IF(PERIODO_ACUM=TRIMESTRE_1,SUMIFS(tb_BaseDados_Anterior[1º TRIMESTRE],tb_BaseDados_Anterior[Classificação],tb_DRETriAcum[[#This Row],[Descrição Contas DRE]]),
IF(PERIODO_ACUM=TRIMESTRE_2,SUMIFS(tb_BaseDados_Anterior[2º TRIMESTRE],tb_BaseDados_Anterior[Classificação],tb_DRETriAcum[[#This Row],[Descrição Contas DRE]])+SUMIFS(tb_BaseDados_Anterior[1º TRIMESTRE],tb_BaseDados_Anterior[Classificação],tb_DRETriAcum[[#This Row],[Descrição Contas DRE]]),
IF(PERIODO_ACUM=TRIMESTRE_3,SUMIFS(tb_BaseDados_Anterior[3º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DRE]]),
SUMIFS(tb_BaseDados_Anterior[4º TRIMESTRE],tb_BaseDados_Anterior[Classificação],tb_DRETriAcum[[#This Row],[Descrição Contas DRE]])+SUMIFS(tb_BaseDados_Anterior[3º TRIMESTRE],tb_BaseDados_Anterior[Classificação],tb_DRETriAcum[[#This Row],[Descrição Contas DRE]])+SUMIFS(tb_BaseDados_Anterior[2º TRIMESTRE],tb_BaseDados_Anterior[Classificação],tb_DRETriAcum[[#This Row],[Descrição Contas DRE]])+SUMIFS(tb_BaseDados_Anterior[1º TRIMESTRE],tb_BaseDados_Anterior[Classificação],tb_DRETriAcum[[#This Row],[Descrição Contas DRE]])))),"")</f>
        <v/>
      </c>
    </row>
  </sheetData>
  <mergeCells count="6">
    <mergeCell ref="E6:G6"/>
    <mergeCell ref="E1:G1"/>
    <mergeCell ref="E2:G2"/>
    <mergeCell ref="E3:G3"/>
    <mergeCell ref="E4:G4"/>
    <mergeCell ref="E5:G5"/>
  </mergeCells>
  <dataValidations disablePrompts="1" count="2">
    <dataValidation type="list" allowBlank="1" showInputMessage="1" showErrorMessage="1" sqref="D13 B11:B70">
      <formula1>lst_DescDRE</formula1>
    </dataValidation>
    <dataValidation type="list" allowBlank="1" showInputMessage="1" showErrorMessage="1" sqref="B2">
      <formula1>lst_Trimestre</formula1>
    </dataValidation>
  </dataValidations>
  <printOptions horizontalCentered="1"/>
  <pageMargins left="0.51181102362204722" right="0.51181102362204722" top="0.98425196850393704" bottom="0.78740157480314965" header="0.31496062992125984" footer="0.31496062992125984"/>
  <pageSetup paperSize="190" scale="63" orientation="portrait" r:id="rId1"/>
  <headerFooter>
    <oddHeader>&amp;C&amp;G</oddHeader>
    <oddFooter>&amp;LMinistério da Agricultura, Pecuária  
e Abastecimento - MAPA
&amp;CEmpresa Brasileira de Pesquisa Agropecuária 
EMBRAPA
Telefone (61) 3448-4433  Fax (61) 3347-1041&amp;RParque Estação Biológica PqEB Final W3 Norte
Brasília - CEP 70.770-901  
Caixa Postal 040315</oddFooter>
  </headerFooter>
  <drawing r:id="rId2"/>
  <legacyDrawingHF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">
    <tabColor theme="4" tint="0.39997558519241921"/>
  </sheetPr>
  <dimension ref="A1:S181"/>
  <sheetViews>
    <sheetView showGridLines="0" workbookViewId="0">
      <selection activeCell="C2" sqref="C2"/>
    </sheetView>
  </sheetViews>
  <sheetFormatPr defaultRowHeight="15" x14ac:dyDescent="0.25"/>
  <cols>
    <col min="1" max="1" width="17.5703125" customWidth="1"/>
    <col min="2" max="2" width="53" bestFit="1" customWidth="1"/>
    <col min="3" max="3" width="42.28515625" customWidth="1"/>
    <col min="4" max="19" width="15.7109375" customWidth="1"/>
  </cols>
  <sheetData>
    <row r="1" spans="1:19" ht="45" customHeight="1" x14ac:dyDescent="0.25">
      <c r="A1" s="3" t="s">
        <v>186</v>
      </c>
      <c r="B1" s="3" t="s">
        <v>185</v>
      </c>
      <c r="C1" s="3" t="s">
        <v>196</v>
      </c>
      <c r="D1" s="3" t="s">
        <v>199</v>
      </c>
      <c r="E1" s="3" t="s">
        <v>200</v>
      </c>
      <c r="F1" s="3" t="s">
        <v>201</v>
      </c>
      <c r="G1" s="3" t="s">
        <v>202</v>
      </c>
      <c r="H1" s="3" t="s">
        <v>203</v>
      </c>
      <c r="I1" s="3" t="s">
        <v>204</v>
      </c>
      <c r="J1" s="3" t="s">
        <v>205</v>
      </c>
      <c r="K1" s="3" t="s">
        <v>206</v>
      </c>
      <c r="L1" s="3" t="s">
        <v>207</v>
      </c>
      <c r="M1" s="3" t="s">
        <v>208</v>
      </c>
      <c r="N1" s="3" t="s">
        <v>209</v>
      </c>
      <c r="O1" s="3" t="s">
        <v>210</v>
      </c>
      <c r="P1" s="3" t="s">
        <v>245</v>
      </c>
      <c r="Q1" s="3" t="s">
        <v>246</v>
      </c>
      <c r="R1" s="3" t="s">
        <v>247</v>
      </c>
      <c r="S1" s="3" t="s">
        <v>248</v>
      </c>
    </row>
    <row r="2" spans="1:19" x14ac:dyDescent="0.25">
      <c r="A2" s="4">
        <v>1311210100</v>
      </c>
      <c r="B2" t="s">
        <v>49</v>
      </c>
      <c r="C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SUM(tb_BaseDados[[#This Row],[Janeiro]:[Março]])</f>
        <v>220878.27220940549</v>
      </c>
      <c r="Q2" s="5">
        <f>SUM(tb_BaseDados[[#This Row],[Abril]:[Junho]])</f>
        <v>22.070425909494233</v>
      </c>
      <c r="R2" s="5">
        <f>SUM(tb_BaseDados[[#This Row],[Julho]:[Setembro]])</f>
        <v>0</v>
      </c>
      <c r="S2" s="5">
        <f>SUM(tb_BaseDados[[#This Row],[Outubro]:[Dezembro]])</f>
        <v>0</v>
      </c>
    </row>
    <row r="3" spans="1:19" x14ac:dyDescent="0.25">
      <c r="A3" s="4">
        <v>1311210300</v>
      </c>
      <c r="B3" t="s">
        <v>52</v>
      </c>
      <c r="C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SUM(tb_BaseDados[[#This Row],[Janeiro]:[Março]])</f>
        <v>8945.4880479148196</v>
      </c>
      <c r="Q3" s="5">
        <f>SUM(tb_BaseDados[[#This Row],[Abril]:[Junho]])</f>
        <v>0</v>
      </c>
      <c r="R3" s="5">
        <f>SUM(tb_BaseDados[[#This Row],[Julho]:[Setembro]])</f>
        <v>0</v>
      </c>
      <c r="S3" s="5">
        <f>SUM(tb_BaseDados[[#This Row],[Outubro]:[Dezembro]])</f>
        <v>0</v>
      </c>
    </row>
    <row r="4" spans="1:19" x14ac:dyDescent="0.25">
      <c r="A4" s="4">
        <v>1311210400</v>
      </c>
      <c r="B4" t="s">
        <v>53</v>
      </c>
      <c r="C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SUM(tb_BaseDados[[#This Row],[Janeiro]:[Março]])</f>
        <v>97443.749751552794</v>
      </c>
      <c r="Q4" s="5">
        <f>SUM(tb_BaseDados[[#This Row],[Abril]:[Junho]])</f>
        <v>0</v>
      </c>
      <c r="R4" s="5">
        <f>SUM(tb_BaseDados[[#This Row],[Julho]:[Setembro]])</f>
        <v>0</v>
      </c>
      <c r="S4" s="5">
        <f>SUM(tb_BaseDados[[#This Row],[Outubro]:[Dezembro]])</f>
        <v>0</v>
      </c>
    </row>
    <row r="5" spans="1:19" x14ac:dyDescent="0.25">
      <c r="A5" s="4">
        <v>1311210500</v>
      </c>
      <c r="B5" t="s">
        <v>54</v>
      </c>
      <c r="C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SUM(tb_BaseDados[[#This Row],[Janeiro]:[Março]])</f>
        <v>37624.008065661044</v>
      </c>
      <c r="Q5" s="5">
        <f>SUM(tb_BaseDados[[#This Row],[Abril]:[Junho]])</f>
        <v>0</v>
      </c>
      <c r="R5" s="5">
        <f>SUM(tb_BaseDados[[#This Row],[Julho]:[Setembro]])</f>
        <v>0</v>
      </c>
      <c r="S5" s="5">
        <f>SUM(tb_BaseDados[[#This Row],[Outubro]:[Dezembro]])</f>
        <v>0</v>
      </c>
    </row>
    <row r="6" spans="1:19" x14ac:dyDescent="0.25">
      <c r="A6" s="4">
        <v>1311210600</v>
      </c>
      <c r="B6" t="s">
        <v>55</v>
      </c>
      <c r="C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SUM(tb_BaseDados[[#This Row],[Janeiro]:[Março]])</f>
        <v>28218.245936113577</v>
      </c>
      <c r="Q6" s="5">
        <f>SUM(tb_BaseDados[[#This Row],[Abril]:[Junho]])</f>
        <v>0</v>
      </c>
      <c r="R6" s="5">
        <f>SUM(tb_BaseDados[[#This Row],[Julho]:[Setembro]])</f>
        <v>0</v>
      </c>
      <c r="S6" s="5">
        <f>SUM(tb_BaseDados[[#This Row],[Outubro]:[Dezembro]])</f>
        <v>0</v>
      </c>
    </row>
    <row r="7" spans="1:19" x14ac:dyDescent="0.25">
      <c r="A7" s="4">
        <v>1311210700</v>
      </c>
      <c r="B7" t="s">
        <v>56</v>
      </c>
      <c r="C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SUM(tb_BaseDados[[#This Row],[Janeiro]:[Março]])</f>
        <v>3652.4745252883758</v>
      </c>
      <c r="Q7" s="5">
        <f>SUM(tb_BaseDados[[#This Row],[Abril]:[Junho]])</f>
        <v>0</v>
      </c>
      <c r="R7" s="5">
        <f>SUM(tb_BaseDados[[#This Row],[Julho]:[Setembro]])</f>
        <v>0</v>
      </c>
      <c r="S7" s="5">
        <f>SUM(tb_BaseDados[[#This Row],[Outubro]:[Dezembro]])</f>
        <v>0</v>
      </c>
    </row>
    <row r="8" spans="1:19" x14ac:dyDescent="0.25">
      <c r="A8" s="4">
        <v>1312510100</v>
      </c>
      <c r="B8" t="s">
        <v>184</v>
      </c>
      <c r="C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SUM(tb_BaseDados[[#This Row],[Janeiro]:[Março]])</f>
        <v>23842.042014196984</v>
      </c>
      <c r="Q8" s="5">
        <f>SUM(tb_BaseDados[[#This Row],[Abril]:[Junho]])</f>
        <v>0.41409050576752443</v>
      </c>
      <c r="R8" s="5">
        <f>SUM(tb_BaseDados[[#This Row],[Julho]:[Setembro]])</f>
        <v>0</v>
      </c>
      <c r="S8" s="5">
        <f>SUM(tb_BaseDados[[#This Row],[Outubro]:[Dezembro]])</f>
        <v>0</v>
      </c>
    </row>
    <row r="9" spans="1:19" x14ac:dyDescent="0.25">
      <c r="A9" s="4">
        <v>1313210600</v>
      </c>
      <c r="B9" t="s">
        <v>63</v>
      </c>
      <c r="C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SUM(tb_BaseDados[[#This Row],[Janeiro]:[Março]])</f>
        <v>2303.031632653061</v>
      </c>
      <c r="Q9" s="5">
        <f>SUM(tb_BaseDados[[#This Row],[Abril]:[Junho]])</f>
        <v>0</v>
      </c>
      <c r="R9" s="5">
        <f>SUM(tb_BaseDados[[#This Row],[Julho]:[Setembro]])</f>
        <v>0</v>
      </c>
      <c r="S9" s="5">
        <f>SUM(tb_BaseDados[[#This Row],[Outubro]:[Dezembro]])</f>
        <v>0</v>
      </c>
    </row>
    <row r="10" spans="1:19" x14ac:dyDescent="0.25">
      <c r="A10" s="4">
        <v>1331110300</v>
      </c>
      <c r="B10" t="s">
        <v>67</v>
      </c>
      <c r="C1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SUM(tb_BaseDados[[#This Row],[Janeiro]:[Março]])</f>
        <v>806.96673469387758</v>
      </c>
      <c r="Q10" s="5">
        <f>SUM(tb_BaseDados[[#This Row],[Abril]:[Junho]])</f>
        <v>75.341614906832305</v>
      </c>
      <c r="R10" s="5">
        <f>SUM(tb_BaseDados[[#This Row],[Julho]:[Setembro]])</f>
        <v>0</v>
      </c>
      <c r="S10" s="5">
        <f>SUM(tb_BaseDados[[#This Row],[Outubro]:[Dezembro]])</f>
        <v>0</v>
      </c>
    </row>
    <row r="11" spans="1:19" x14ac:dyDescent="0.25">
      <c r="A11" s="4">
        <v>1331110500</v>
      </c>
      <c r="B11" t="s">
        <v>69</v>
      </c>
      <c r="C1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SUM(tb_BaseDados[[#This Row],[Janeiro]:[Março]])</f>
        <v>185.85107364685004</v>
      </c>
      <c r="Q11" s="5">
        <f>SUM(tb_BaseDados[[#This Row],[Abril]:[Junho]])</f>
        <v>0.33123336291038158</v>
      </c>
      <c r="R11" s="5">
        <f>SUM(tb_BaseDados[[#This Row],[Julho]:[Setembro]])</f>
        <v>0</v>
      </c>
      <c r="S11" s="5">
        <f>SUM(tb_BaseDados[[#This Row],[Outubro]:[Dezembro]])</f>
        <v>0</v>
      </c>
    </row>
    <row r="12" spans="1:19" x14ac:dyDescent="0.25">
      <c r="A12" s="4">
        <v>1332310800</v>
      </c>
      <c r="B12" t="s">
        <v>92</v>
      </c>
      <c r="C1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SUM(tb_BaseDados[[#This Row],[Janeiro]:[Março]])</f>
        <v>5785.4972848269745</v>
      </c>
      <c r="Q12" s="5">
        <f>SUM(tb_BaseDados[[#This Row],[Abril]:[Junho]])</f>
        <v>473.70985803016862</v>
      </c>
      <c r="R12" s="5">
        <f>SUM(tb_BaseDados[[#This Row],[Julho]:[Setembro]])</f>
        <v>0</v>
      </c>
      <c r="S12" s="5">
        <f>SUM(tb_BaseDados[[#This Row],[Outubro]:[Dezembro]])</f>
        <v>0</v>
      </c>
    </row>
    <row r="13" spans="1:19" x14ac:dyDescent="0.25">
      <c r="A13" s="4">
        <v>1332320900</v>
      </c>
      <c r="B13" t="s">
        <v>106</v>
      </c>
      <c r="C1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SUM(tb_BaseDados[[#This Row],[Janeiro]:[Março]])</f>
        <v>51.577213842058569</v>
      </c>
      <c r="Q13" s="5">
        <f>SUM(tb_BaseDados[[#This Row],[Abril]:[Junho]])</f>
        <v>0</v>
      </c>
      <c r="R13" s="5">
        <f>SUM(tb_BaseDados[[#This Row],[Julho]:[Setembro]])</f>
        <v>0</v>
      </c>
      <c r="S13" s="5">
        <f>SUM(tb_BaseDados[[#This Row],[Outubro]:[Dezembro]])</f>
        <v>0</v>
      </c>
    </row>
    <row r="14" spans="1:19" x14ac:dyDescent="0.25">
      <c r="A14" s="4">
        <v>1332340300</v>
      </c>
      <c r="B14" t="s">
        <v>111</v>
      </c>
      <c r="C1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SUM(tb_BaseDados[[#This Row],[Janeiro]:[Março]])</f>
        <v>7.0204081632653068</v>
      </c>
      <c r="Q14" s="5">
        <f>SUM(tb_BaseDados[[#This Row],[Abril]:[Junho]])</f>
        <v>0</v>
      </c>
      <c r="R14" s="5">
        <f>SUM(tb_BaseDados[[#This Row],[Julho]:[Setembro]])</f>
        <v>0</v>
      </c>
      <c r="S14" s="5">
        <f>SUM(tb_BaseDados[[#This Row],[Outubro]:[Dezembro]])</f>
        <v>0</v>
      </c>
    </row>
    <row r="15" spans="1:19" x14ac:dyDescent="0.25">
      <c r="A15" s="4">
        <v>1342310100</v>
      </c>
      <c r="B15" t="s">
        <v>151</v>
      </c>
      <c r="C1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SUM(tb_BaseDados[[#This Row],[Janeiro]:[Março]])</f>
        <v>0.52192546583850929</v>
      </c>
      <c r="Q15" s="5">
        <f>SUM(tb_BaseDados[[#This Row],[Abril]:[Junho]])</f>
        <v>8.1366459627329191E-3</v>
      </c>
      <c r="R15" s="5">
        <f>SUM(tb_BaseDados[[#This Row],[Julho]:[Setembro]])</f>
        <v>0</v>
      </c>
      <c r="S15" s="5">
        <f>SUM(tb_BaseDados[[#This Row],[Outubro]:[Dezembro]])</f>
        <v>0</v>
      </c>
    </row>
    <row r="16" spans="1:19" x14ac:dyDescent="0.25">
      <c r="A16" s="4">
        <v>1365020100</v>
      </c>
      <c r="B16" t="s">
        <v>180</v>
      </c>
      <c r="C1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SUM(tb_BaseDados[[#This Row],[Janeiro]:[Março]])</f>
        <v>14695.12551020408</v>
      </c>
      <c r="Q16" s="5">
        <f>SUM(tb_BaseDados[[#This Row],[Abril]:[Junho]])</f>
        <v>0</v>
      </c>
      <c r="R16" s="5">
        <f>SUM(tb_BaseDados[[#This Row],[Julho]:[Setembro]])</f>
        <v>0</v>
      </c>
      <c r="S16" s="5">
        <f>SUM(tb_BaseDados[[#This Row],[Outubro]:[Dezembro]])</f>
        <v>0</v>
      </c>
    </row>
    <row r="17" spans="1:19" x14ac:dyDescent="0.25">
      <c r="A17" s="4">
        <v>1371110800</v>
      </c>
      <c r="B17" t="s">
        <v>135</v>
      </c>
      <c r="C1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SUM(tb_BaseDados[[#This Row],[Janeiro]:[Março]])</f>
        <v>0.13662821650399337</v>
      </c>
      <c r="Q17" s="5">
        <f>SUM(tb_BaseDados[[#This Row],[Abril]:[Junho]])</f>
        <v>0</v>
      </c>
      <c r="R17" s="5">
        <f>SUM(tb_BaseDados[[#This Row],[Julho]:[Setembro]])</f>
        <v>0</v>
      </c>
      <c r="S17" s="5">
        <f>SUM(tb_BaseDados[[#This Row],[Outubro]:[Dezembro]])</f>
        <v>0</v>
      </c>
    </row>
    <row r="18" spans="1:19" x14ac:dyDescent="0.25">
      <c r="A18" s="4">
        <v>1371129900</v>
      </c>
      <c r="B18" t="s">
        <v>136</v>
      </c>
      <c r="C1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SUM(tb_BaseDados[[#This Row],[Janeiro]:[Março]])</f>
        <v>0</v>
      </c>
      <c r="Q18" s="5">
        <f>SUM(tb_BaseDados[[#This Row],[Abril]:[Junho]])</f>
        <v>0</v>
      </c>
      <c r="R18" s="5">
        <f>SUM(tb_BaseDados[[#This Row],[Julho]:[Setembro]])</f>
        <v>0</v>
      </c>
      <c r="S18" s="5">
        <f>SUM(tb_BaseDados[[#This Row],[Outubro]:[Dezembro]])</f>
        <v>0</v>
      </c>
    </row>
    <row r="19" spans="1:19" x14ac:dyDescent="0.25">
      <c r="A19" s="4">
        <v>1371220100</v>
      </c>
      <c r="B19" t="s">
        <v>140</v>
      </c>
      <c r="C1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SUM(tb_BaseDados[[#This Row],[Janeiro]:[Março]])</f>
        <v>23.441579414374445</v>
      </c>
      <c r="Q19" s="5">
        <f>SUM(tb_BaseDados[[#This Row],[Abril]:[Junho]])</f>
        <v>8.6183762200532392</v>
      </c>
      <c r="R19" s="5">
        <f>SUM(tb_BaseDados[[#This Row],[Julho]:[Setembro]])</f>
        <v>0</v>
      </c>
      <c r="S19" s="5">
        <f>SUM(tb_BaseDados[[#This Row],[Outubro]:[Dezembro]])</f>
        <v>0</v>
      </c>
    </row>
    <row r="20" spans="1:19" ht="14.25" customHeight="1" x14ac:dyDescent="0.25">
      <c r="A20" s="4">
        <v>1372110600</v>
      </c>
      <c r="B20" t="s">
        <v>143</v>
      </c>
      <c r="C2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SUM(tb_BaseDados[[#This Row],[Janeiro]:[Março]])</f>
        <v>9.9486779059449866</v>
      </c>
      <c r="Q20" s="5">
        <f>SUM(tb_BaseDados[[#This Row],[Abril]:[Junho]])</f>
        <v>0</v>
      </c>
      <c r="R20" s="5">
        <f>SUM(tb_BaseDados[[#This Row],[Julho]:[Setembro]])</f>
        <v>0</v>
      </c>
      <c r="S20" s="5">
        <f>SUM(tb_BaseDados[[#This Row],[Outubro]:[Dezembro]])</f>
        <v>0</v>
      </c>
    </row>
    <row r="21" spans="1:19" x14ac:dyDescent="0.25">
      <c r="A21" s="4">
        <v>1372120500</v>
      </c>
      <c r="B21" t="s">
        <v>142</v>
      </c>
      <c r="C2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SUM(tb_BaseDados[[#This Row],[Janeiro]:[Março]])</f>
        <v>1.2365749778172139</v>
      </c>
      <c r="Q21" s="5">
        <f>SUM(tb_BaseDados[[#This Row],[Abril]:[Junho]])</f>
        <v>0.41219165927240464</v>
      </c>
      <c r="R21" s="5">
        <f>SUM(tb_BaseDados[[#This Row],[Julho]:[Setembro]])</f>
        <v>0</v>
      </c>
      <c r="S21" s="5">
        <f>SUM(tb_BaseDados[[#This Row],[Outubro]:[Dezembro]])</f>
        <v>0</v>
      </c>
    </row>
    <row r="22" spans="1:19" x14ac:dyDescent="0.25">
      <c r="A22" s="4">
        <v>1372350100</v>
      </c>
      <c r="B22" t="s">
        <v>147</v>
      </c>
      <c r="C2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SUM(tb_BaseDados[[#This Row],[Janeiro]:[Março]])</f>
        <v>3.1210913930789705</v>
      </c>
      <c r="Q22" s="5">
        <f>SUM(tb_BaseDados[[#This Row],[Abril]:[Junho]])</f>
        <v>7.6858917480035496E-2</v>
      </c>
      <c r="R22" s="5">
        <f>SUM(tb_BaseDados[[#This Row],[Julho]:[Setembro]])</f>
        <v>0</v>
      </c>
      <c r="S22" s="5">
        <f>SUM(tb_BaseDados[[#This Row],[Outubro]:[Dezembro]])</f>
        <v>0</v>
      </c>
    </row>
    <row r="23" spans="1:19" x14ac:dyDescent="0.25">
      <c r="A23" s="4">
        <v>1394110100</v>
      </c>
      <c r="B23" t="s">
        <v>124</v>
      </c>
      <c r="C2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SUM(tb_BaseDados[[#This Row],[Janeiro]:[Março]])</f>
        <v>439.51898846495118</v>
      </c>
      <c r="Q23" s="5">
        <f>SUM(tb_BaseDados[[#This Row],[Abril]:[Junho]])</f>
        <v>86.388322981366457</v>
      </c>
      <c r="R23" s="5">
        <f>SUM(tb_BaseDados[[#This Row],[Julho]:[Setembro]])</f>
        <v>0</v>
      </c>
      <c r="S23" s="5">
        <f>SUM(tb_BaseDados[[#This Row],[Outubro]:[Dezembro]])</f>
        <v>0</v>
      </c>
    </row>
    <row r="24" spans="1:19" x14ac:dyDescent="0.25">
      <c r="A24" s="4">
        <v>1431111200</v>
      </c>
      <c r="B24" t="s">
        <v>2</v>
      </c>
      <c r="C2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SUM(tb_BaseDados[[#This Row],[Janeiro]:[Março]])</f>
        <v>401.26476486246668</v>
      </c>
      <c r="Q24" s="5">
        <f>SUM(tb_BaseDados[[#This Row],[Abril]:[Junho]])</f>
        <v>1.0652528837622004</v>
      </c>
      <c r="R24" s="5">
        <f>SUM(tb_BaseDados[[#This Row],[Julho]:[Setembro]])</f>
        <v>0</v>
      </c>
      <c r="S24" s="5">
        <f>SUM(tb_BaseDados[[#This Row],[Outubro]:[Dezembro]])</f>
        <v>0</v>
      </c>
    </row>
    <row r="25" spans="1:19" x14ac:dyDescent="0.25">
      <c r="A25" s="4">
        <v>1433110100</v>
      </c>
      <c r="B25" t="s">
        <v>6</v>
      </c>
      <c r="C2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SUM(tb_BaseDados[[#This Row],[Janeiro]:[Março]])</f>
        <v>3834.7073824312338</v>
      </c>
      <c r="Q25" s="5">
        <f>SUM(tb_BaseDados[[#This Row],[Abril]:[Junho]])</f>
        <v>59.026654835847374</v>
      </c>
      <c r="R25" s="5">
        <f>SUM(tb_BaseDados[[#This Row],[Julho]:[Setembro]])</f>
        <v>0</v>
      </c>
      <c r="S25" s="5">
        <f>SUM(tb_BaseDados[[#This Row],[Outubro]:[Dezembro]])</f>
        <v>0</v>
      </c>
    </row>
    <row r="26" spans="1:19" x14ac:dyDescent="0.25">
      <c r="A26" s="4">
        <v>1433910900</v>
      </c>
      <c r="B26" t="s">
        <v>11</v>
      </c>
      <c r="C2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SUM(tb_BaseDados[[#This Row],[Janeiro]:[Março]])</f>
        <v>-417.08152617568766</v>
      </c>
      <c r="Q26" s="5">
        <f>SUM(tb_BaseDados[[#This Row],[Abril]:[Junho]])</f>
        <v>0</v>
      </c>
      <c r="R26" s="5">
        <f>SUM(tb_BaseDados[[#This Row],[Julho]:[Setembro]])</f>
        <v>0</v>
      </c>
      <c r="S26" s="5">
        <f>SUM(tb_BaseDados[[#This Row],[Outubro]:[Dezembro]])</f>
        <v>0</v>
      </c>
    </row>
    <row r="27" spans="1:19" x14ac:dyDescent="0.25">
      <c r="A27" s="4">
        <v>1451120200</v>
      </c>
      <c r="B27" t="s">
        <v>14</v>
      </c>
      <c r="C2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SUM(tb_BaseDados[[#This Row],[Janeiro]:[Março]])</f>
        <v>525786.68324755982</v>
      </c>
      <c r="Q27" s="5">
        <f>SUM(tb_BaseDados[[#This Row],[Abril]:[Junho]])</f>
        <v>51480.808535936114</v>
      </c>
      <c r="R27" s="5">
        <f>SUM(tb_BaseDados[[#This Row],[Julho]:[Setembro]])</f>
        <v>0</v>
      </c>
      <c r="S27" s="5">
        <f>SUM(tb_BaseDados[[#This Row],[Outubro]:[Dezembro]])</f>
        <v>0</v>
      </c>
    </row>
    <row r="28" spans="1:19" x14ac:dyDescent="0.25">
      <c r="A28" s="4">
        <v>1451220300</v>
      </c>
      <c r="B28" t="s">
        <v>33</v>
      </c>
      <c r="C2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SUM(tb_BaseDados[[#This Row],[Janeiro]:[Março]])</f>
        <v>2250.3710115350491</v>
      </c>
      <c r="Q28" s="5">
        <f>SUM(tb_BaseDados[[#This Row],[Abril]:[Junho]])</f>
        <v>63.885412599822537</v>
      </c>
      <c r="R28" s="5">
        <f>SUM(tb_BaseDados[[#This Row],[Julho]:[Setembro]])</f>
        <v>0</v>
      </c>
      <c r="S28" s="5">
        <f>SUM(tb_BaseDados[[#This Row],[Outubro]:[Dezembro]])</f>
        <v>0</v>
      </c>
    </row>
    <row r="29" spans="1:19" x14ac:dyDescent="0.25">
      <c r="A29" s="4">
        <v>1459020100</v>
      </c>
      <c r="B29" t="s">
        <v>15</v>
      </c>
      <c r="C2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SUM(tb_BaseDados[[#This Row],[Janeiro]:[Março]])</f>
        <v>3109.8390771960958</v>
      </c>
      <c r="Q29" s="5">
        <f>SUM(tb_BaseDados[[#This Row],[Abril]:[Junho]])</f>
        <v>0.27116237799467613</v>
      </c>
      <c r="R29" s="5">
        <f>SUM(tb_BaseDados[[#This Row],[Julho]:[Setembro]])</f>
        <v>0</v>
      </c>
      <c r="S29" s="5">
        <f>SUM(tb_BaseDados[[#This Row],[Outubro]:[Dezembro]])</f>
        <v>0</v>
      </c>
    </row>
    <row r="30" spans="1:19" x14ac:dyDescent="0.25">
      <c r="A30" s="4">
        <v>1463110100</v>
      </c>
      <c r="B30" t="s">
        <v>38</v>
      </c>
      <c r="C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SUM(tb_BaseDados[[#This Row],[Janeiro]:[Março]])</f>
        <v>27.990505767524404</v>
      </c>
      <c r="Q30" s="5">
        <f>SUM(tb_BaseDados[[#This Row],[Abril]:[Junho]])</f>
        <v>0</v>
      </c>
      <c r="R30" s="5">
        <f>SUM(tb_BaseDados[[#This Row],[Julho]:[Setembro]])</f>
        <v>0</v>
      </c>
      <c r="S30" s="5">
        <f>SUM(tb_BaseDados[[#This Row],[Outubro]:[Dezembro]])</f>
        <v>0</v>
      </c>
    </row>
    <row r="31" spans="1:19" x14ac:dyDescent="0.25">
      <c r="A31" s="4">
        <v>1463920100</v>
      </c>
      <c r="B31" t="s">
        <v>40</v>
      </c>
      <c r="C3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SUM(tb_BaseDados[[#This Row],[Janeiro]:[Março]])</f>
        <v>14928.54315882875</v>
      </c>
      <c r="Q31" s="5">
        <f>SUM(tb_BaseDados[[#This Row],[Abril]:[Junho]])</f>
        <v>0</v>
      </c>
      <c r="R31" s="5">
        <f>SUM(tb_BaseDados[[#This Row],[Julho]:[Setembro]])</f>
        <v>0</v>
      </c>
      <c r="S31" s="5">
        <f>SUM(tb_BaseDados[[#This Row],[Outubro]:[Dezembro]])</f>
        <v>0</v>
      </c>
    </row>
    <row r="32" spans="1:19" x14ac:dyDescent="0.25">
      <c r="A32" s="4">
        <v>1499610100</v>
      </c>
      <c r="B32" t="s">
        <v>44</v>
      </c>
      <c r="C3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SUM(tb_BaseDados[[#This Row],[Janeiro]:[Março]])</f>
        <v>16.552945874001775</v>
      </c>
      <c r="Q32" s="5">
        <f>SUM(tb_BaseDados[[#This Row],[Abril]:[Junho]])</f>
        <v>1.755527950310559</v>
      </c>
      <c r="R32" s="5">
        <f>SUM(tb_BaseDados[[#This Row],[Julho]:[Setembro]])</f>
        <v>0</v>
      </c>
      <c r="S32" s="5">
        <f>SUM(tb_BaseDados[[#This Row],[Outubro]:[Dezembro]])</f>
        <v>0</v>
      </c>
    </row>
    <row r="33" spans="1:19" x14ac:dyDescent="0.25">
      <c r="A33" s="4">
        <v>1499910100</v>
      </c>
      <c r="B33" t="s">
        <v>46</v>
      </c>
      <c r="C3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SUM(tb_BaseDados[[#This Row],[Janeiro]:[Março]])</f>
        <v>454.7433185448092</v>
      </c>
      <c r="Q33" s="5">
        <f>SUM(tb_BaseDados[[#This Row],[Abril]:[Junho]])</f>
        <v>8.8067701863354042</v>
      </c>
      <c r="R33" s="5">
        <f>SUM(tb_BaseDados[[#This Row],[Julho]:[Setembro]])</f>
        <v>0</v>
      </c>
      <c r="S33" s="5">
        <f>SUM(tb_BaseDados[[#This Row],[Outubro]:[Dezembro]])</f>
        <v>0</v>
      </c>
    </row>
    <row r="34" spans="1:19" x14ac:dyDescent="0.25">
      <c r="A34" s="4"/>
      <c r="C3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>
        <f>SUM(tb_BaseDados[[#This Row],[Janeiro]:[Março]])</f>
        <v>0</v>
      </c>
      <c r="Q34" s="5">
        <f>SUM(tb_BaseDados[[#This Row],[Abril]:[Junho]])</f>
        <v>0</v>
      </c>
      <c r="R34" s="5">
        <f>SUM(tb_BaseDados[[#This Row],[Julho]:[Setembro]])</f>
        <v>0</v>
      </c>
      <c r="S34" s="5">
        <f>SUM(tb_BaseDados[[#This Row],[Outubro]:[Dezembro]])</f>
        <v>0</v>
      </c>
    </row>
    <row r="35" spans="1:19" x14ac:dyDescent="0.25">
      <c r="A35" s="4"/>
      <c r="C3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>
        <f>SUM(tb_BaseDados[[#This Row],[Janeiro]:[Março]])</f>
        <v>0</v>
      </c>
      <c r="Q35" s="5">
        <f>SUM(tb_BaseDados[[#This Row],[Abril]:[Junho]])</f>
        <v>0</v>
      </c>
      <c r="R35" s="5">
        <f>SUM(tb_BaseDados[[#This Row],[Julho]:[Setembro]])</f>
        <v>0</v>
      </c>
      <c r="S35" s="5">
        <f>SUM(tb_BaseDados[[#This Row],[Outubro]:[Dezembro]])</f>
        <v>0</v>
      </c>
    </row>
    <row r="36" spans="1:19" x14ac:dyDescent="0.25">
      <c r="A36" s="4"/>
      <c r="C3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>
        <f>SUM(tb_BaseDados[[#This Row],[Janeiro]:[Março]])</f>
        <v>0</v>
      </c>
      <c r="Q36" s="5">
        <f>SUM(tb_BaseDados[[#This Row],[Abril]:[Junho]])</f>
        <v>0</v>
      </c>
      <c r="R36" s="5">
        <f>SUM(tb_BaseDados[[#This Row],[Julho]:[Setembro]])</f>
        <v>0</v>
      </c>
      <c r="S36" s="5">
        <f>SUM(tb_BaseDados[[#This Row],[Outubro]:[Dezembro]])</f>
        <v>0</v>
      </c>
    </row>
    <row r="37" spans="1:19" x14ac:dyDescent="0.25">
      <c r="A37" s="4"/>
      <c r="C3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>
        <f>SUM(tb_BaseDados[[#This Row],[Janeiro]:[Março]])</f>
        <v>0</v>
      </c>
      <c r="Q37" s="5">
        <f>SUM(tb_BaseDados[[#This Row],[Abril]:[Junho]])</f>
        <v>0</v>
      </c>
      <c r="R37" s="5">
        <f>SUM(tb_BaseDados[[#This Row],[Julho]:[Setembro]])</f>
        <v>0</v>
      </c>
      <c r="S37" s="5">
        <f>SUM(tb_BaseDados[[#This Row],[Outubro]:[Dezembro]])</f>
        <v>0</v>
      </c>
    </row>
    <row r="38" spans="1:19" x14ac:dyDescent="0.25">
      <c r="A38" s="4"/>
      <c r="C3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>
        <f>SUM(tb_BaseDados[[#This Row],[Janeiro]:[Março]])</f>
        <v>0</v>
      </c>
      <c r="Q38" s="5">
        <f>SUM(tb_BaseDados[[#This Row],[Abril]:[Junho]])</f>
        <v>0</v>
      </c>
      <c r="R38" s="5">
        <f>SUM(tb_BaseDados[[#This Row],[Julho]:[Setembro]])</f>
        <v>0</v>
      </c>
      <c r="S38" s="5">
        <f>SUM(tb_BaseDados[[#This Row],[Outubro]:[Dezembro]])</f>
        <v>0</v>
      </c>
    </row>
    <row r="39" spans="1:19" x14ac:dyDescent="0.25">
      <c r="A39" s="4"/>
      <c r="C3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>
        <f>SUM(tb_BaseDados[[#This Row],[Janeiro]:[Março]])</f>
        <v>0</v>
      </c>
      <c r="Q39" s="5">
        <f>SUM(tb_BaseDados[[#This Row],[Abril]:[Junho]])</f>
        <v>0</v>
      </c>
      <c r="R39" s="5">
        <f>SUM(tb_BaseDados[[#This Row],[Julho]:[Setembro]])</f>
        <v>0</v>
      </c>
      <c r="S39" s="5">
        <f>SUM(tb_BaseDados[[#This Row],[Outubro]:[Dezembro]])</f>
        <v>0</v>
      </c>
    </row>
    <row r="40" spans="1:19" x14ac:dyDescent="0.25">
      <c r="A40" s="4"/>
      <c r="C4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>
        <f>SUM(tb_BaseDados[[#This Row],[Janeiro]:[Março]])</f>
        <v>0</v>
      </c>
      <c r="Q40" s="5">
        <f>SUM(tb_BaseDados[[#This Row],[Abril]:[Junho]])</f>
        <v>0</v>
      </c>
      <c r="R40" s="5">
        <f>SUM(tb_BaseDados[[#This Row],[Julho]:[Setembro]])</f>
        <v>0</v>
      </c>
      <c r="S40" s="5">
        <f>SUM(tb_BaseDados[[#This Row],[Outubro]:[Dezembro]])</f>
        <v>0</v>
      </c>
    </row>
    <row r="41" spans="1:19" x14ac:dyDescent="0.25">
      <c r="A41" s="4"/>
      <c r="C4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>
        <f>SUM(tb_BaseDados[[#This Row],[Janeiro]:[Março]])</f>
        <v>0</v>
      </c>
      <c r="Q41" s="5">
        <f>SUM(tb_BaseDados[[#This Row],[Abril]:[Junho]])</f>
        <v>0</v>
      </c>
      <c r="R41" s="5">
        <f>SUM(tb_BaseDados[[#This Row],[Julho]:[Setembro]])</f>
        <v>0</v>
      </c>
      <c r="S41" s="5">
        <f>SUM(tb_BaseDados[[#This Row],[Outubro]:[Dezembro]])</f>
        <v>0</v>
      </c>
    </row>
    <row r="42" spans="1:19" x14ac:dyDescent="0.25">
      <c r="A42" s="4"/>
      <c r="C4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>
        <f>SUM(tb_BaseDados[[#This Row],[Janeiro]:[Março]])</f>
        <v>0</v>
      </c>
      <c r="Q42" s="5">
        <f>SUM(tb_BaseDados[[#This Row],[Abril]:[Junho]])</f>
        <v>0</v>
      </c>
      <c r="R42" s="5">
        <f>SUM(tb_BaseDados[[#This Row],[Julho]:[Setembro]])</f>
        <v>0</v>
      </c>
      <c r="S42" s="5">
        <f>SUM(tb_BaseDados[[#This Row],[Outubro]:[Dezembro]])</f>
        <v>0</v>
      </c>
    </row>
    <row r="43" spans="1:19" x14ac:dyDescent="0.25">
      <c r="A43" s="4"/>
      <c r="C4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>
        <f>SUM(tb_BaseDados[[#This Row],[Janeiro]:[Março]])</f>
        <v>0</v>
      </c>
      <c r="Q43" s="5">
        <f>SUM(tb_BaseDados[[#This Row],[Abril]:[Junho]])</f>
        <v>0</v>
      </c>
      <c r="R43" s="5">
        <f>SUM(tb_BaseDados[[#This Row],[Julho]:[Setembro]])</f>
        <v>0</v>
      </c>
      <c r="S43" s="5">
        <f>SUM(tb_BaseDados[[#This Row],[Outubro]:[Dezembro]])</f>
        <v>0</v>
      </c>
    </row>
    <row r="44" spans="1:19" x14ac:dyDescent="0.25">
      <c r="A44" s="4"/>
      <c r="C4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>
        <f>SUM(tb_BaseDados[[#This Row],[Janeiro]:[Março]])</f>
        <v>0</v>
      </c>
      <c r="Q44" s="5">
        <f>SUM(tb_BaseDados[[#This Row],[Abril]:[Junho]])</f>
        <v>0</v>
      </c>
      <c r="R44" s="5">
        <f>SUM(tb_BaseDados[[#This Row],[Julho]:[Setembro]])</f>
        <v>0</v>
      </c>
      <c r="S44" s="5">
        <f>SUM(tb_BaseDados[[#This Row],[Outubro]:[Dezembro]])</f>
        <v>0</v>
      </c>
    </row>
    <row r="45" spans="1:19" x14ac:dyDescent="0.25">
      <c r="A45" s="4"/>
      <c r="C4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>
        <f>SUM(tb_BaseDados[[#This Row],[Janeiro]:[Março]])</f>
        <v>0</v>
      </c>
      <c r="Q45" s="5">
        <f>SUM(tb_BaseDados[[#This Row],[Abril]:[Junho]])</f>
        <v>0</v>
      </c>
      <c r="R45" s="5">
        <f>SUM(tb_BaseDados[[#This Row],[Julho]:[Setembro]])</f>
        <v>0</v>
      </c>
      <c r="S45" s="5">
        <f>SUM(tb_BaseDados[[#This Row],[Outubro]:[Dezembro]])</f>
        <v>0</v>
      </c>
    </row>
    <row r="46" spans="1:19" x14ac:dyDescent="0.25">
      <c r="A46" s="4"/>
      <c r="C4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>
        <f>SUM(tb_BaseDados[[#This Row],[Janeiro]:[Março]])</f>
        <v>0</v>
      </c>
      <c r="Q46" s="5">
        <f>SUM(tb_BaseDados[[#This Row],[Abril]:[Junho]])</f>
        <v>0</v>
      </c>
      <c r="R46" s="5">
        <f>SUM(tb_BaseDados[[#This Row],[Julho]:[Setembro]])</f>
        <v>0</v>
      </c>
      <c r="S46" s="5">
        <f>SUM(tb_BaseDados[[#This Row],[Outubro]:[Dezembro]])</f>
        <v>0</v>
      </c>
    </row>
    <row r="47" spans="1:19" x14ac:dyDescent="0.25">
      <c r="A47" s="4"/>
      <c r="C4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>
        <f>SUM(tb_BaseDados[[#This Row],[Janeiro]:[Março]])</f>
        <v>0</v>
      </c>
      <c r="Q47" s="5">
        <f>SUM(tb_BaseDados[[#This Row],[Abril]:[Junho]])</f>
        <v>0</v>
      </c>
      <c r="R47" s="5">
        <f>SUM(tb_BaseDados[[#This Row],[Julho]:[Setembro]])</f>
        <v>0</v>
      </c>
      <c r="S47" s="5">
        <f>SUM(tb_BaseDados[[#This Row],[Outubro]:[Dezembro]])</f>
        <v>0</v>
      </c>
    </row>
    <row r="48" spans="1:19" x14ac:dyDescent="0.25">
      <c r="A48" s="4"/>
      <c r="C4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>
        <f>SUM(tb_BaseDados[[#This Row],[Janeiro]:[Março]])</f>
        <v>0</v>
      </c>
      <c r="Q48" s="5">
        <f>SUM(tb_BaseDados[[#This Row],[Abril]:[Junho]])</f>
        <v>0</v>
      </c>
      <c r="R48" s="5">
        <f>SUM(tb_BaseDados[[#This Row],[Julho]:[Setembro]])</f>
        <v>0</v>
      </c>
      <c r="S48" s="5">
        <f>SUM(tb_BaseDados[[#This Row],[Outubro]:[Dezembro]])</f>
        <v>0</v>
      </c>
    </row>
    <row r="49" spans="1:19" x14ac:dyDescent="0.25">
      <c r="A49" s="4"/>
      <c r="C4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>
        <f>SUM(tb_BaseDados[[#This Row],[Janeiro]:[Março]])</f>
        <v>0</v>
      </c>
      <c r="Q49" s="5">
        <f>SUM(tb_BaseDados[[#This Row],[Abril]:[Junho]])</f>
        <v>0</v>
      </c>
      <c r="R49" s="5">
        <f>SUM(tb_BaseDados[[#This Row],[Julho]:[Setembro]])</f>
        <v>0</v>
      </c>
      <c r="S49" s="5">
        <f>SUM(tb_BaseDados[[#This Row],[Outubro]:[Dezembro]])</f>
        <v>0</v>
      </c>
    </row>
    <row r="50" spans="1:19" x14ac:dyDescent="0.25">
      <c r="A50" s="4"/>
      <c r="C5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>
        <f>SUM(tb_BaseDados[[#This Row],[Janeiro]:[Março]])</f>
        <v>0</v>
      </c>
      <c r="Q50" s="5">
        <f>SUM(tb_BaseDados[[#This Row],[Abril]:[Junho]])</f>
        <v>0</v>
      </c>
      <c r="R50" s="5">
        <f>SUM(tb_BaseDados[[#This Row],[Julho]:[Setembro]])</f>
        <v>0</v>
      </c>
      <c r="S50" s="5">
        <f>SUM(tb_BaseDados[[#This Row],[Outubro]:[Dezembro]])</f>
        <v>0</v>
      </c>
    </row>
    <row r="51" spans="1:19" x14ac:dyDescent="0.25">
      <c r="A51" s="4"/>
      <c r="C5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>
        <f>SUM(tb_BaseDados[[#This Row],[Janeiro]:[Março]])</f>
        <v>0</v>
      </c>
      <c r="Q51" s="5">
        <f>SUM(tb_BaseDados[[#This Row],[Abril]:[Junho]])</f>
        <v>0</v>
      </c>
      <c r="R51" s="5">
        <f>SUM(tb_BaseDados[[#This Row],[Julho]:[Setembro]])</f>
        <v>0</v>
      </c>
      <c r="S51" s="5">
        <f>SUM(tb_BaseDados[[#This Row],[Outubro]:[Dezembro]])</f>
        <v>0</v>
      </c>
    </row>
    <row r="52" spans="1:19" x14ac:dyDescent="0.25">
      <c r="A52" s="4"/>
      <c r="C5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>
        <f>SUM(tb_BaseDados[[#This Row],[Janeiro]:[Março]])</f>
        <v>0</v>
      </c>
      <c r="Q52" s="5">
        <f>SUM(tb_BaseDados[[#This Row],[Abril]:[Junho]])</f>
        <v>0</v>
      </c>
      <c r="R52" s="5">
        <f>SUM(tb_BaseDados[[#This Row],[Julho]:[Setembro]])</f>
        <v>0</v>
      </c>
      <c r="S52" s="5">
        <f>SUM(tb_BaseDados[[#This Row],[Outubro]:[Dezembro]])</f>
        <v>0</v>
      </c>
    </row>
    <row r="53" spans="1:19" x14ac:dyDescent="0.25">
      <c r="A53" s="4"/>
      <c r="C5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>
        <f>SUM(tb_BaseDados[[#This Row],[Janeiro]:[Março]])</f>
        <v>0</v>
      </c>
      <c r="Q53" s="5">
        <f>SUM(tb_BaseDados[[#This Row],[Abril]:[Junho]])</f>
        <v>0</v>
      </c>
      <c r="R53" s="5">
        <f>SUM(tb_BaseDados[[#This Row],[Julho]:[Setembro]])</f>
        <v>0</v>
      </c>
      <c r="S53" s="5">
        <f>SUM(tb_BaseDados[[#This Row],[Outubro]:[Dezembro]])</f>
        <v>0</v>
      </c>
    </row>
    <row r="54" spans="1:19" x14ac:dyDescent="0.25">
      <c r="A54" s="4"/>
      <c r="C5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>
        <f>SUM(tb_BaseDados[[#This Row],[Janeiro]:[Março]])</f>
        <v>0</v>
      </c>
      <c r="Q54" s="5">
        <f>SUM(tb_BaseDados[[#This Row],[Abril]:[Junho]])</f>
        <v>0</v>
      </c>
      <c r="R54" s="5">
        <f>SUM(tb_BaseDados[[#This Row],[Julho]:[Setembro]])</f>
        <v>0</v>
      </c>
      <c r="S54" s="5">
        <f>SUM(tb_BaseDados[[#This Row],[Outubro]:[Dezembro]])</f>
        <v>0</v>
      </c>
    </row>
    <row r="55" spans="1:19" x14ac:dyDescent="0.25">
      <c r="A55" s="4"/>
      <c r="C5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>
        <f>SUM(tb_BaseDados[[#This Row],[Janeiro]:[Março]])</f>
        <v>0</v>
      </c>
      <c r="Q55" s="5">
        <f>SUM(tb_BaseDados[[#This Row],[Abril]:[Junho]])</f>
        <v>0</v>
      </c>
      <c r="R55" s="5">
        <f>SUM(tb_BaseDados[[#This Row],[Julho]:[Setembro]])</f>
        <v>0</v>
      </c>
      <c r="S55" s="5">
        <f>SUM(tb_BaseDados[[#This Row],[Outubro]:[Dezembro]])</f>
        <v>0</v>
      </c>
    </row>
    <row r="56" spans="1:19" x14ac:dyDescent="0.25">
      <c r="A56" s="4"/>
      <c r="C5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>
        <f>SUM(tb_BaseDados[[#This Row],[Janeiro]:[Março]])</f>
        <v>0</v>
      </c>
      <c r="Q56" s="5">
        <f>SUM(tb_BaseDados[[#This Row],[Abril]:[Junho]])</f>
        <v>0</v>
      </c>
      <c r="R56" s="5">
        <f>SUM(tb_BaseDados[[#This Row],[Julho]:[Setembro]])</f>
        <v>0</v>
      </c>
      <c r="S56" s="5">
        <f>SUM(tb_BaseDados[[#This Row],[Outubro]:[Dezembro]])</f>
        <v>0</v>
      </c>
    </row>
    <row r="57" spans="1:19" x14ac:dyDescent="0.25">
      <c r="A57" s="4"/>
      <c r="C5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>
        <f>SUM(tb_BaseDados[[#This Row],[Janeiro]:[Março]])</f>
        <v>0</v>
      </c>
      <c r="Q57" s="5">
        <f>SUM(tb_BaseDados[[#This Row],[Abril]:[Junho]])</f>
        <v>0</v>
      </c>
      <c r="R57" s="5">
        <f>SUM(tb_BaseDados[[#This Row],[Julho]:[Setembro]])</f>
        <v>0</v>
      </c>
      <c r="S57" s="5">
        <f>SUM(tb_BaseDados[[#This Row],[Outubro]:[Dezembro]])</f>
        <v>0</v>
      </c>
    </row>
    <row r="58" spans="1:19" x14ac:dyDescent="0.25">
      <c r="A58" s="4"/>
      <c r="C5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>
        <f>SUM(tb_BaseDados[[#This Row],[Janeiro]:[Março]])</f>
        <v>0</v>
      </c>
      <c r="Q58" s="5">
        <f>SUM(tb_BaseDados[[#This Row],[Abril]:[Junho]])</f>
        <v>0</v>
      </c>
      <c r="R58" s="5">
        <f>SUM(tb_BaseDados[[#This Row],[Julho]:[Setembro]])</f>
        <v>0</v>
      </c>
      <c r="S58" s="5">
        <f>SUM(tb_BaseDados[[#This Row],[Outubro]:[Dezembro]])</f>
        <v>0</v>
      </c>
    </row>
    <row r="59" spans="1:19" x14ac:dyDescent="0.25">
      <c r="A59" s="4"/>
      <c r="C5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>
        <f>SUM(tb_BaseDados[[#This Row],[Janeiro]:[Março]])</f>
        <v>0</v>
      </c>
      <c r="Q59" s="5">
        <f>SUM(tb_BaseDados[[#This Row],[Abril]:[Junho]])</f>
        <v>0</v>
      </c>
      <c r="R59" s="5">
        <f>SUM(tb_BaseDados[[#This Row],[Julho]:[Setembro]])</f>
        <v>0</v>
      </c>
      <c r="S59" s="5">
        <f>SUM(tb_BaseDados[[#This Row],[Outubro]:[Dezembro]])</f>
        <v>0</v>
      </c>
    </row>
    <row r="60" spans="1:19" x14ac:dyDescent="0.25">
      <c r="A60" s="4"/>
      <c r="C6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>
        <f>SUM(tb_BaseDados[[#This Row],[Janeiro]:[Março]])</f>
        <v>0</v>
      </c>
      <c r="Q60" s="5">
        <f>SUM(tb_BaseDados[[#This Row],[Abril]:[Junho]])</f>
        <v>0</v>
      </c>
      <c r="R60" s="5">
        <f>SUM(tb_BaseDados[[#This Row],[Julho]:[Setembro]])</f>
        <v>0</v>
      </c>
      <c r="S60" s="5">
        <f>SUM(tb_BaseDados[[#This Row],[Outubro]:[Dezembro]])</f>
        <v>0</v>
      </c>
    </row>
    <row r="61" spans="1:19" x14ac:dyDescent="0.25">
      <c r="A61" s="4"/>
      <c r="C6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>
        <f>SUM(tb_BaseDados[[#This Row],[Janeiro]:[Março]])</f>
        <v>0</v>
      </c>
      <c r="Q61" s="5">
        <f>SUM(tb_BaseDados[[#This Row],[Abril]:[Junho]])</f>
        <v>0</v>
      </c>
      <c r="R61" s="5">
        <f>SUM(tb_BaseDados[[#This Row],[Julho]:[Setembro]])</f>
        <v>0</v>
      </c>
      <c r="S61" s="5">
        <f>SUM(tb_BaseDados[[#This Row],[Outubro]:[Dezembro]])</f>
        <v>0</v>
      </c>
    </row>
    <row r="62" spans="1:19" x14ac:dyDescent="0.25">
      <c r="A62" s="4"/>
      <c r="C6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f>SUM(tb_BaseDados[[#This Row],[Janeiro]:[Março]])</f>
        <v>0</v>
      </c>
      <c r="Q62" s="5">
        <f>SUM(tb_BaseDados[[#This Row],[Abril]:[Junho]])</f>
        <v>0</v>
      </c>
      <c r="R62" s="5">
        <f>SUM(tb_BaseDados[[#This Row],[Julho]:[Setembro]])</f>
        <v>0</v>
      </c>
      <c r="S62" s="5">
        <f>SUM(tb_BaseDados[[#This Row],[Outubro]:[Dezembro]])</f>
        <v>0</v>
      </c>
    </row>
    <row r="63" spans="1:19" x14ac:dyDescent="0.25">
      <c r="A63" s="4"/>
      <c r="C6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>
        <f>SUM(tb_BaseDados[[#This Row],[Janeiro]:[Março]])</f>
        <v>0</v>
      </c>
      <c r="Q63" s="5">
        <f>SUM(tb_BaseDados[[#This Row],[Abril]:[Junho]])</f>
        <v>0</v>
      </c>
      <c r="R63" s="5">
        <f>SUM(tb_BaseDados[[#This Row],[Julho]:[Setembro]])</f>
        <v>0</v>
      </c>
      <c r="S63" s="5">
        <f>SUM(tb_BaseDados[[#This Row],[Outubro]:[Dezembro]])</f>
        <v>0</v>
      </c>
    </row>
    <row r="64" spans="1:19" x14ac:dyDescent="0.25">
      <c r="A64" s="4"/>
      <c r="C6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>
        <f>SUM(tb_BaseDados[[#This Row],[Janeiro]:[Março]])</f>
        <v>0</v>
      </c>
      <c r="Q64" s="5">
        <f>SUM(tb_BaseDados[[#This Row],[Abril]:[Junho]])</f>
        <v>0</v>
      </c>
      <c r="R64" s="5">
        <f>SUM(tb_BaseDados[[#This Row],[Julho]:[Setembro]])</f>
        <v>0</v>
      </c>
      <c r="S64" s="5">
        <f>SUM(tb_BaseDados[[#This Row],[Outubro]:[Dezembro]])</f>
        <v>0</v>
      </c>
    </row>
    <row r="65" spans="1:19" x14ac:dyDescent="0.25">
      <c r="A65" s="4"/>
      <c r="C6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>
        <f>SUM(tb_BaseDados[[#This Row],[Janeiro]:[Março]])</f>
        <v>0</v>
      </c>
      <c r="Q65" s="5">
        <f>SUM(tb_BaseDados[[#This Row],[Abril]:[Junho]])</f>
        <v>0</v>
      </c>
      <c r="R65" s="5">
        <f>SUM(tb_BaseDados[[#This Row],[Julho]:[Setembro]])</f>
        <v>0</v>
      </c>
      <c r="S65" s="5">
        <f>SUM(tb_BaseDados[[#This Row],[Outubro]:[Dezembro]])</f>
        <v>0</v>
      </c>
    </row>
    <row r="66" spans="1:19" x14ac:dyDescent="0.25">
      <c r="A66" s="4"/>
      <c r="C6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>
        <f>SUM(tb_BaseDados[[#This Row],[Janeiro]:[Março]])</f>
        <v>0</v>
      </c>
      <c r="Q66" s="5">
        <f>SUM(tb_BaseDados[[#This Row],[Abril]:[Junho]])</f>
        <v>0</v>
      </c>
      <c r="R66" s="5">
        <f>SUM(tb_BaseDados[[#This Row],[Julho]:[Setembro]])</f>
        <v>0</v>
      </c>
      <c r="S66" s="5">
        <f>SUM(tb_BaseDados[[#This Row],[Outubro]:[Dezembro]])</f>
        <v>0</v>
      </c>
    </row>
    <row r="67" spans="1:19" x14ac:dyDescent="0.25">
      <c r="A67" s="4"/>
      <c r="C6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>
        <f>SUM(tb_BaseDados[[#This Row],[Janeiro]:[Março]])</f>
        <v>0</v>
      </c>
      <c r="Q67" s="5">
        <f>SUM(tb_BaseDados[[#This Row],[Abril]:[Junho]])</f>
        <v>0</v>
      </c>
      <c r="R67" s="5">
        <f>SUM(tb_BaseDados[[#This Row],[Julho]:[Setembro]])</f>
        <v>0</v>
      </c>
      <c r="S67" s="5">
        <f>SUM(tb_BaseDados[[#This Row],[Outubro]:[Dezembro]])</f>
        <v>0</v>
      </c>
    </row>
    <row r="68" spans="1:19" x14ac:dyDescent="0.25">
      <c r="A68" s="4"/>
      <c r="C6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>
        <f>SUM(tb_BaseDados[[#This Row],[Janeiro]:[Março]])</f>
        <v>0</v>
      </c>
      <c r="Q68" s="5">
        <f>SUM(tb_BaseDados[[#This Row],[Abril]:[Junho]])</f>
        <v>0</v>
      </c>
      <c r="R68" s="5">
        <f>SUM(tb_BaseDados[[#This Row],[Julho]:[Setembro]])</f>
        <v>0</v>
      </c>
      <c r="S68" s="5">
        <f>SUM(tb_BaseDados[[#This Row],[Outubro]:[Dezembro]])</f>
        <v>0</v>
      </c>
    </row>
    <row r="69" spans="1:19" x14ac:dyDescent="0.25">
      <c r="A69" s="4"/>
      <c r="C6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>
        <f>SUM(tb_BaseDados[[#This Row],[Janeiro]:[Março]])</f>
        <v>0</v>
      </c>
      <c r="Q69" s="5">
        <f>SUM(tb_BaseDados[[#This Row],[Abril]:[Junho]])</f>
        <v>0</v>
      </c>
      <c r="R69" s="5">
        <f>SUM(tb_BaseDados[[#This Row],[Julho]:[Setembro]])</f>
        <v>0</v>
      </c>
      <c r="S69" s="5">
        <f>SUM(tb_BaseDados[[#This Row],[Outubro]:[Dezembro]])</f>
        <v>0</v>
      </c>
    </row>
    <row r="70" spans="1:19" x14ac:dyDescent="0.25">
      <c r="A70" s="4"/>
      <c r="C7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>
        <f>SUM(tb_BaseDados[[#This Row],[Janeiro]:[Março]])</f>
        <v>0</v>
      </c>
      <c r="Q70" s="5">
        <f>SUM(tb_BaseDados[[#This Row],[Abril]:[Junho]])</f>
        <v>0</v>
      </c>
      <c r="R70" s="5">
        <f>SUM(tb_BaseDados[[#This Row],[Julho]:[Setembro]])</f>
        <v>0</v>
      </c>
      <c r="S70" s="5">
        <f>SUM(tb_BaseDados[[#This Row],[Outubro]:[Dezembro]])</f>
        <v>0</v>
      </c>
    </row>
    <row r="71" spans="1:19" x14ac:dyDescent="0.25">
      <c r="A71" s="4"/>
      <c r="C7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>
        <f>SUM(tb_BaseDados[[#This Row],[Janeiro]:[Março]])</f>
        <v>0</v>
      </c>
      <c r="Q71" s="5">
        <f>SUM(tb_BaseDados[[#This Row],[Abril]:[Junho]])</f>
        <v>0</v>
      </c>
      <c r="R71" s="5">
        <f>SUM(tb_BaseDados[[#This Row],[Julho]:[Setembro]])</f>
        <v>0</v>
      </c>
      <c r="S71" s="5">
        <f>SUM(tb_BaseDados[[#This Row],[Outubro]:[Dezembro]])</f>
        <v>0</v>
      </c>
    </row>
    <row r="72" spans="1:19" x14ac:dyDescent="0.25">
      <c r="A72" s="4"/>
      <c r="C7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>
        <f>SUM(tb_BaseDados[[#This Row],[Janeiro]:[Março]])</f>
        <v>0</v>
      </c>
      <c r="Q72" s="5">
        <f>SUM(tb_BaseDados[[#This Row],[Abril]:[Junho]])</f>
        <v>0</v>
      </c>
      <c r="R72" s="5">
        <f>SUM(tb_BaseDados[[#This Row],[Julho]:[Setembro]])</f>
        <v>0</v>
      </c>
      <c r="S72" s="5">
        <f>SUM(tb_BaseDados[[#This Row],[Outubro]:[Dezembro]])</f>
        <v>0</v>
      </c>
    </row>
    <row r="73" spans="1:19" x14ac:dyDescent="0.25">
      <c r="A73" s="4"/>
      <c r="C7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>
        <f>SUM(tb_BaseDados[[#This Row],[Janeiro]:[Março]])</f>
        <v>0</v>
      </c>
      <c r="Q73" s="5">
        <f>SUM(tb_BaseDados[[#This Row],[Abril]:[Junho]])</f>
        <v>0</v>
      </c>
      <c r="R73" s="5">
        <f>SUM(tb_BaseDados[[#This Row],[Julho]:[Setembro]])</f>
        <v>0</v>
      </c>
      <c r="S73" s="5">
        <f>SUM(tb_BaseDados[[#This Row],[Outubro]:[Dezembro]])</f>
        <v>0</v>
      </c>
    </row>
    <row r="74" spans="1:19" x14ac:dyDescent="0.25">
      <c r="A74" s="4"/>
      <c r="C7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>
        <f>SUM(tb_BaseDados[[#This Row],[Janeiro]:[Março]])</f>
        <v>0</v>
      </c>
      <c r="Q74" s="5">
        <f>SUM(tb_BaseDados[[#This Row],[Abril]:[Junho]])</f>
        <v>0</v>
      </c>
      <c r="R74" s="5">
        <f>SUM(tb_BaseDados[[#This Row],[Julho]:[Setembro]])</f>
        <v>0</v>
      </c>
      <c r="S74" s="5">
        <f>SUM(tb_BaseDados[[#This Row],[Outubro]:[Dezembro]])</f>
        <v>0</v>
      </c>
    </row>
    <row r="75" spans="1:19" x14ac:dyDescent="0.25">
      <c r="A75" s="4"/>
      <c r="C7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>
        <f>SUM(tb_BaseDados[[#This Row],[Janeiro]:[Março]])</f>
        <v>0</v>
      </c>
      <c r="Q75" s="5">
        <f>SUM(tb_BaseDados[[#This Row],[Abril]:[Junho]])</f>
        <v>0</v>
      </c>
      <c r="R75" s="5">
        <f>SUM(tb_BaseDados[[#This Row],[Julho]:[Setembro]])</f>
        <v>0</v>
      </c>
      <c r="S75" s="5">
        <f>SUM(tb_BaseDados[[#This Row],[Outubro]:[Dezembro]])</f>
        <v>0</v>
      </c>
    </row>
    <row r="76" spans="1:19" x14ac:dyDescent="0.25">
      <c r="A76" s="4"/>
      <c r="C7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>
        <f>SUM(tb_BaseDados[[#This Row],[Janeiro]:[Março]])</f>
        <v>0</v>
      </c>
      <c r="Q76" s="5">
        <f>SUM(tb_BaseDados[[#This Row],[Abril]:[Junho]])</f>
        <v>0</v>
      </c>
      <c r="R76" s="5">
        <f>SUM(tb_BaseDados[[#This Row],[Julho]:[Setembro]])</f>
        <v>0</v>
      </c>
      <c r="S76" s="5">
        <f>SUM(tb_BaseDados[[#This Row],[Outubro]:[Dezembro]])</f>
        <v>0</v>
      </c>
    </row>
    <row r="77" spans="1:19" x14ac:dyDescent="0.25">
      <c r="A77" s="4"/>
      <c r="C7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>
        <f>SUM(tb_BaseDados[[#This Row],[Janeiro]:[Março]])</f>
        <v>0</v>
      </c>
      <c r="Q77" s="5">
        <f>SUM(tb_BaseDados[[#This Row],[Abril]:[Junho]])</f>
        <v>0</v>
      </c>
      <c r="R77" s="5">
        <f>SUM(tb_BaseDados[[#This Row],[Julho]:[Setembro]])</f>
        <v>0</v>
      </c>
      <c r="S77" s="5">
        <f>SUM(tb_BaseDados[[#This Row],[Outubro]:[Dezembro]])</f>
        <v>0</v>
      </c>
    </row>
    <row r="78" spans="1:19" x14ac:dyDescent="0.25">
      <c r="A78" s="4"/>
      <c r="C7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>
        <f>SUM(tb_BaseDados[[#This Row],[Janeiro]:[Março]])</f>
        <v>0</v>
      </c>
      <c r="Q78" s="5">
        <f>SUM(tb_BaseDados[[#This Row],[Abril]:[Junho]])</f>
        <v>0</v>
      </c>
      <c r="R78" s="5">
        <f>SUM(tb_BaseDados[[#This Row],[Julho]:[Setembro]])</f>
        <v>0</v>
      </c>
      <c r="S78" s="5">
        <f>SUM(tb_BaseDados[[#This Row],[Outubro]:[Dezembro]])</f>
        <v>0</v>
      </c>
    </row>
    <row r="79" spans="1:19" x14ac:dyDescent="0.25">
      <c r="A79" s="4"/>
      <c r="C7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>
        <f>SUM(tb_BaseDados[[#This Row],[Janeiro]:[Março]])</f>
        <v>0</v>
      </c>
      <c r="Q79" s="5">
        <f>SUM(tb_BaseDados[[#This Row],[Abril]:[Junho]])</f>
        <v>0</v>
      </c>
      <c r="R79" s="5">
        <f>SUM(tb_BaseDados[[#This Row],[Julho]:[Setembro]])</f>
        <v>0</v>
      </c>
      <c r="S79" s="5">
        <f>SUM(tb_BaseDados[[#This Row],[Outubro]:[Dezembro]])</f>
        <v>0</v>
      </c>
    </row>
    <row r="80" spans="1:19" x14ac:dyDescent="0.25">
      <c r="A80" s="4"/>
      <c r="C8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>
        <f>SUM(tb_BaseDados[[#This Row],[Janeiro]:[Março]])</f>
        <v>0</v>
      </c>
      <c r="Q80" s="5">
        <f>SUM(tb_BaseDados[[#This Row],[Abril]:[Junho]])</f>
        <v>0</v>
      </c>
      <c r="R80" s="5">
        <f>SUM(tb_BaseDados[[#This Row],[Julho]:[Setembro]])</f>
        <v>0</v>
      </c>
      <c r="S80" s="5">
        <f>SUM(tb_BaseDados[[#This Row],[Outubro]:[Dezembro]])</f>
        <v>0</v>
      </c>
    </row>
    <row r="81" spans="1:19" x14ac:dyDescent="0.25">
      <c r="A81" s="4"/>
      <c r="C8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>
        <f>SUM(tb_BaseDados[[#This Row],[Janeiro]:[Março]])</f>
        <v>0</v>
      </c>
      <c r="Q81" s="5">
        <f>SUM(tb_BaseDados[[#This Row],[Abril]:[Junho]])</f>
        <v>0</v>
      </c>
      <c r="R81" s="5">
        <f>SUM(tb_BaseDados[[#This Row],[Julho]:[Setembro]])</f>
        <v>0</v>
      </c>
      <c r="S81" s="5">
        <f>SUM(tb_BaseDados[[#This Row],[Outubro]:[Dezembro]])</f>
        <v>0</v>
      </c>
    </row>
    <row r="82" spans="1:19" x14ac:dyDescent="0.25">
      <c r="A82" s="4"/>
      <c r="C8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>
        <f>SUM(tb_BaseDados[[#This Row],[Janeiro]:[Março]])</f>
        <v>0</v>
      </c>
      <c r="Q82" s="5">
        <f>SUM(tb_BaseDados[[#This Row],[Abril]:[Junho]])</f>
        <v>0</v>
      </c>
      <c r="R82" s="5">
        <f>SUM(tb_BaseDados[[#This Row],[Julho]:[Setembro]])</f>
        <v>0</v>
      </c>
      <c r="S82" s="5">
        <f>SUM(tb_BaseDados[[#This Row],[Outubro]:[Dezembro]])</f>
        <v>0</v>
      </c>
    </row>
    <row r="83" spans="1:19" x14ac:dyDescent="0.25">
      <c r="A83" s="4"/>
      <c r="C8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>
        <f>SUM(tb_BaseDados[[#This Row],[Janeiro]:[Março]])</f>
        <v>0</v>
      </c>
      <c r="Q83" s="5">
        <f>SUM(tb_BaseDados[[#This Row],[Abril]:[Junho]])</f>
        <v>0</v>
      </c>
      <c r="R83" s="5">
        <f>SUM(tb_BaseDados[[#This Row],[Julho]:[Setembro]])</f>
        <v>0</v>
      </c>
      <c r="S83" s="5">
        <f>SUM(tb_BaseDados[[#This Row],[Outubro]:[Dezembro]])</f>
        <v>0</v>
      </c>
    </row>
    <row r="84" spans="1:19" x14ac:dyDescent="0.25">
      <c r="A84" s="4"/>
      <c r="C8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>
        <f>SUM(tb_BaseDados[[#This Row],[Janeiro]:[Março]])</f>
        <v>0</v>
      </c>
      <c r="Q84" s="5">
        <f>SUM(tb_BaseDados[[#This Row],[Abril]:[Junho]])</f>
        <v>0</v>
      </c>
      <c r="R84" s="5">
        <f>SUM(tb_BaseDados[[#This Row],[Julho]:[Setembro]])</f>
        <v>0</v>
      </c>
      <c r="S84" s="5">
        <f>SUM(tb_BaseDados[[#This Row],[Outubro]:[Dezembro]])</f>
        <v>0</v>
      </c>
    </row>
    <row r="85" spans="1:19" x14ac:dyDescent="0.25">
      <c r="A85" s="4"/>
      <c r="C8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>
        <f>SUM(tb_BaseDados[[#This Row],[Janeiro]:[Março]])</f>
        <v>0</v>
      </c>
      <c r="Q85" s="5">
        <f>SUM(tb_BaseDados[[#This Row],[Abril]:[Junho]])</f>
        <v>0</v>
      </c>
      <c r="R85" s="5">
        <f>SUM(tb_BaseDados[[#This Row],[Julho]:[Setembro]])</f>
        <v>0</v>
      </c>
      <c r="S85" s="5">
        <f>SUM(tb_BaseDados[[#This Row],[Outubro]:[Dezembro]])</f>
        <v>0</v>
      </c>
    </row>
    <row r="86" spans="1:19" x14ac:dyDescent="0.25">
      <c r="A86" s="4"/>
      <c r="C8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>
        <f>SUM(tb_BaseDados[[#This Row],[Janeiro]:[Março]])</f>
        <v>0</v>
      </c>
      <c r="Q86" s="5">
        <f>SUM(tb_BaseDados[[#This Row],[Abril]:[Junho]])</f>
        <v>0</v>
      </c>
      <c r="R86" s="5">
        <f>SUM(tb_BaseDados[[#This Row],[Julho]:[Setembro]])</f>
        <v>0</v>
      </c>
      <c r="S86" s="5">
        <f>SUM(tb_BaseDados[[#This Row],[Outubro]:[Dezembro]])</f>
        <v>0</v>
      </c>
    </row>
    <row r="87" spans="1:19" x14ac:dyDescent="0.25">
      <c r="A87" s="4"/>
      <c r="C8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>
        <f>SUM(tb_BaseDados[[#This Row],[Janeiro]:[Março]])</f>
        <v>0</v>
      </c>
      <c r="Q87" s="5">
        <f>SUM(tb_BaseDados[[#This Row],[Abril]:[Junho]])</f>
        <v>0</v>
      </c>
      <c r="R87" s="5">
        <f>SUM(tb_BaseDados[[#This Row],[Julho]:[Setembro]])</f>
        <v>0</v>
      </c>
      <c r="S87" s="5">
        <f>SUM(tb_BaseDados[[#This Row],[Outubro]:[Dezembro]])</f>
        <v>0</v>
      </c>
    </row>
    <row r="88" spans="1:19" x14ac:dyDescent="0.25">
      <c r="A88" s="4"/>
      <c r="C8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>
        <f>SUM(tb_BaseDados[[#This Row],[Janeiro]:[Março]])</f>
        <v>0</v>
      </c>
      <c r="Q88" s="5">
        <f>SUM(tb_BaseDados[[#This Row],[Abril]:[Junho]])</f>
        <v>0</v>
      </c>
      <c r="R88" s="5">
        <f>SUM(tb_BaseDados[[#This Row],[Julho]:[Setembro]])</f>
        <v>0</v>
      </c>
      <c r="S88" s="5">
        <f>SUM(tb_BaseDados[[#This Row],[Outubro]:[Dezembro]])</f>
        <v>0</v>
      </c>
    </row>
    <row r="89" spans="1:19" x14ac:dyDescent="0.25">
      <c r="A89" s="4"/>
      <c r="C8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f>SUM(tb_BaseDados[[#This Row],[Janeiro]:[Março]])</f>
        <v>0</v>
      </c>
      <c r="Q89" s="5">
        <f>SUM(tb_BaseDados[[#This Row],[Abril]:[Junho]])</f>
        <v>0</v>
      </c>
      <c r="R89" s="5">
        <f>SUM(tb_BaseDados[[#This Row],[Julho]:[Setembro]])</f>
        <v>0</v>
      </c>
      <c r="S89" s="5">
        <f>SUM(tb_BaseDados[[#This Row],[Outubro]:[Dezembro]])</f>
        <v>0</v>
      </c>
    </row>
    <row r="90" spans="1:19" x14ac:dyDescent="0.25">
      <c r="A90" s="4"/>
      <c r="C9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>
        <f>SUM(tb_BaseDados[[#This Row],[Janeiro]:[Março]])</f>
        <v>0</v>
      </c>
      <c r="Q90" s="5">
        <f>SUM(tb_BaseDados[[#This Row],[Abril]:[Junho]])</f>
        <v>0</v>
      </c>
      <c r="R90" s="5">
        <f>SUM(tb_BaseDados[[#This Row],[Julho]:[Setembro]])</f>
        <v>0</v>
      </c>
      <c r="S90" s="5">
        <f>SUM(tb_BaseDados[[#This Row],[Outubro]:[Dezembro]])</f>
        <v>0</v>
      </c>
    </row>
    <row r="91" spans="1:19" x14ac:dyDescent="0.25">
      <c r="A91" s="4"/>
      <c r="C9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>
        <f>SUM(tb_BaseDados[[#This Row],[Janeiro]:[Março]])</f>
        <v>0</v>
      </c>
      <c r="Q91" s="5">
        <f>SUM(tb_BaseDados[[#This Row],[Abril]:[Junho]])</f>
        <v>0</v>
      </c>
      <c r="R91" s="5">
        <f>SUM(tb_BaseDados[[#This Row],[Julho]:[Setembro]])</f>
        <v>0</v>
      </c>
      <c r="S91" s="5">
        <f>SUM(tb_BaseDados[[#This Row],[Outubro]:[Dezembro]])</f>
        <v>0</v>
      </c>
    </row>
    <row r="92" spans="1:19" x14ac:dyDescent="0.25">
      <c r="A92" s="4"/>
      <c r="C9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>
        <f>SUM(tb_BaseDados[[#This Row],[Janeiro]:[Março]])</f>
        <v>0</v>
      </c>
      <c r="Q92" s="5">
        <f>SUM(tb_BaseDados[[#This Row],[Abril]:[Junho]])</f>
        <v>0</v>
      </c>
      <c r="R92" s="5">
        <f>SUM(tb_BaseDados[[#This Row],[Julho]:[Setembro]])</f>
        <v>0</v>
      </c>
      <c r="S92" s="5">
        <f>SUM(tb_BaseDados[[#This Row],[Outubro]:[Dezembro]])</f>
        <v>0</v>
      </c>
    </row>
    <row r="93" spans="1:19" x14ac:dyDescent="0.25">
      <c r="A93" s="4"/>
      <c r="C9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>
        <f>SUM(tb_BaseDados[[#This Row],[Janeiro]:[Março]])</f>
        <v>0</v>
      </c>
      <c r="Q93" s="5">
        <f>SUM(tb_BaseDados[[#This Row],[Abril]:[Junho]])</f>
        <v>0</v>
      </c>
      <c r="R93" s="5">
        <f>SUM(tb_BaseDados[[#This Row],[Julho]:[Setembro]])</f>
        <v>0</v>
      </c>
      <c r="S93" s="5">
        <f>SUM(tb_BaseDados[[#This Row],[Outubro]:[Dezembro]])</f>
        <v>0</v>
      </c>
    </row>
    <row r="94" spans="1:19" x14ac:dyDescent="0.25">
      <c r="A94" s="4"/>
      <c r="C9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>
        <f>SUM(tb_BaseDados[[#This Row],[Janeiro]:[Março]])</f>
        <v>0</v>
      </c>
      <c r="Q94" s="5">
        <f>SUM(tb_BaseDados[[#This Row],[Abril]:[Junho]])</f>
        <v>0</v>
      </c>
      <c r="R94" s="5">
        <f>SUM(tb_BaseDados[[#This Row],[Julho]:[Setembro]])</f>
        <v>0</v>
      </c>
      <c r="S94" s="5">
        <f>SUM(tb_BaseDados[[#This Row],[Outubro]:[Dezembro]])</f>
        <v>0</v>
      </c>
    </row>
    <row r="95" spans="1:19" x14ac:dyDescent="0.25">
      <c r="A95" s="4"/>
      <c r="C9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>
        <f>SUM(tb_BaseDados[[#This Row],[Janeiro]:[Março]])</f>
        <v>0</v>
      </c>
      <c r="Q95" s="5">
        <f>SUM(tb_BaseDados[[#This Row],[Abril]:[Junho]])</f>
        <v>0</v>
      </c>
      <c r="R95" s="5">
        <f>SUM(tb_BaseDados[[#This Row],[Julho]:[Setembro]])</f>
        <v>0</v>
      </c>
      <c r="S95" s="5">
        <f>SUM(tb_BaseDados[[#This Row],[Outubro]:[Dezembro]])</f>
        <v>0</v>
      </c>
    </row>
    <row r="96" spans="1:19" x14ac:dyDescent="0.25">
      <c r="A96" s="4"/>
      <c r="C9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>
        <f>SUM(tb_BaseDados[[#This Row],[Janeiro]:[Março]])</f>
        <v>0</v>
      </c>
      <c r="Q96" s="5">
        <f>SUM(tb_BaseDados[[#This Row],[Abril]:[Junho]])</f>
        <v>0</v>
      </c>
      <c r="R96" s="5">
        <f>SUM(tb_BaseDados[[#This Row],[Julho]:[Setembro]])</f>
        <v>0</v>
      </c>
      <c r="S96" s="5">
        <f>SUM(tb_BaseDados[[#This Row],[Outubro]:[Dezembro]])</f>
        <v>0</v>
      </c>
    </row>
    <row r="97" spans="1:19" x14ac:dyDescent="0.25">
      <c r="A97" s="4"/>
      <c r="C9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>
        <f>SUM(tb_BaseDados[[#This Row],[Janeiro]:[Março]])</f>
        <v>0</v>
      </c>
      <c r="Q97" s="5">
        <f>SUM(tb_BaseDados[[#This Row],[Abril]:[Junho]])</f>
        <v>0</v>
      </c>
      <c r="R97" s="5">
        <f>SUM(tb_BaseDados[[#This Row],[Julho]:[Setembro]])</f>
        <v>0</v>
      </c>
      <c r="S97" s="5">
        <f>SUM(tb_BaseDados[[#This Row],[Outubro]:[Dezembro]])</f>
        <v>0</v>
      </c>
    </row>
    <row r="98" spans="1:19" x14ac:dyDescent="0.25">
      <c r="A98" s="4"/>
      <c r="C9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>
        <f>SUM(tb_BaseDados[[#This Row],[Janeiro]:[Março]])</f>
        <v>0</v>
      </c>
      <c r="Q98" s="5">
        <f>SUM(tb_BaseDados[[#This Row],[Abril]:[Junho]])</f>
        <v>0</v>
      </c>
      <c r="R98" s="5">
        <f>SUM(tb_BaseDados[[#This Row],[Julho]:[Setembro]])</f>
        <v>0</v>
      </c>
      <c r="S98" s="5">
        <f>SUM(tb_BaseDados[[#This Row],[Outubro]:[Dezembro]])</f>
        <v>0</v>
      </c>
    </row>
    <row r="99" spans="1:19" x14ac:dyDescent="0.25">
      <c r="A99" s="4"/>
      <c r="C9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>
        <f>SUM(tb_BaseDados[[#This Row],[Janeiro]:[Março]])</f>
        <v>0</v>
      </c>
      <c r="Q99" s="5">
        <f>SUM(tb_BaseDados[[#This Row],[Abril]:[Junho]])</f>
        <v>0</v>
      </c>
      <c r="R99" s="5">
        <f>SUM(tb_BaseDados[[#This Row],[Julho]:[Setembro]])</f>
        <v>0</v>
      </c>
      <c r="S99" s="5">
        <f>SUM(tb_BaseDados[[#This Row],[Outubro]:[Dezembro]])</f>
        <v>0</v>
      </c>
    </row>
    <row r="100" spans="1:19" x14ac:dyDescent="0.25">
      <c r="A100" s="4"/>
      <c r="C10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>
        <f>SUM(tb_BaseDados[[#This Row],[Janeiro]:[Março]])</f>
        <v>0</v>
      </c>
      <c r="Q100" s="5">
        <f>SUM(tb_BaseDados[[#This Row],[Abril]:[Junho]])</f>
        <v>0</v>
      </c>
      <c r="R100" s="5">
        <f>SUM(tb_BaseDados[[#This Row],[Julho]:[Setembro]])</f>
        <v>0</v>
      </c>
      <c r="S100" s="5">
        <f>SUM(tb_BaseDados[[#This Row],[Outubro]:[Dezembro]])</f>
        <v>0</v>
      </c>
    </row>
    <row r="101" spans="1:19" x14ac:dyDescent="0.25">
      <c r="A101" s="4"/>
      <c r="C10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>
        <f>SUM(tb_BaseDados[[#This Row],[Janeiro]:[Março]])</f>
        <v>0</v>
      </c>
      <c r="Q101" s="5">
        <f>SUM(tb_BaseDados[[#This Row],[Abril]:[Junho]])</f>
        <v>0</v>
      </c>
      <c r="R101" s="5">
        <f>SUM(tb_BaseDados[[#This Row],[Julho]:[Setembro]])</f>
        <v>0</v>
      </c>
      <c r="S101" s="5">
        <f>SUM(tb_BaseDados[[#This Row],[Outubro]:[Dezembro]])</f>
        <v>0</v>
      </c>
    </row>
    <row r="102" spans="1:19" x14ac:dyDescent="0.25">
      <c r="A102" s="4"/>
      <c r="C10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>
        <f>SUM(tb_BaseDados[[#This Row],[Janeiro]:[Março]])</f>
        <v>0</v>
      </c>
      <c r="Q102" s="5">
        <f>SUM(tb_BaseDados[[#This Row],[Abril]:[Junho]])</f>
        <v>0</v>
      </c>
      <c r="R102" s="5">
        <f>SUM(tb_BaseDados[[#This Row],[Julho]:[Setembro]])</f>
        <v>0</v>
      </c>
      <c r="S102" s="5">
        <f>SUM(tb_BaseDados[[#This Row],[Outubro]:[Dezembro]])</f>
        <v>0</v>
      </c>
    </row>
    <row r="103" spans="1:19" x14ac:dyDescent="0.25">
      <c r="A103" s="4"/>
      <c r="C10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>
        <f>SUM(tb_BaseDados[[#This Row],[Janeiro]:[Março]])</f>
        <v>0</v>
      </c>
      <c r="Q103" s="5">
        <f>SUM(tb_BaseDados[[#This Row],[Abril]:[Junho]])</f>
        <v>0</v>
      </c>
      <c r="R103" s="5">
        <f>SUM(tb_BaseDados[[#This Row],[Julho]:[Setembro]])</f>
        <v>0</v>
      </c>
      <c r="S103" s="5">
        <f>SUM(tb_BaseDados[[#This Row],[Outubro]:[Dezembro]])</f>
        <v>0</v>
      </c>
    </row>
    <row r="104" spans="1:19" x14ac:dyDescent="0.25">
      <c r="A104" s="4"/>
      <c r="C10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>
        <f>SUM(tb_BaseDados[[#This Row],[Janeiro]:[Março]])</f>
        <v>0</v>
      </c>
      <c r="Q104" s="5">
        <f>SUM(tb_BaseDados[[#This Row],[Abril]:[Junho]])</f>
        <v>0</v>
      </c>
      <c r="R104" s="5">
        <f>SUM(tb_BaseDados[[#This Row],[Julho]:[Setembro]])</f>
        <v>0</v>
      </c>
      <c r="S104" s="5">
        <f>SUM(tb_BaseDados[[#This Row],[Outubro]:[Dezembro]])</f>
        <v>0</v>
      </c>
    </row>
    <row r="105" spans="1:19" x14ac:dyDescent="0.25">
      <c r="A105" s="4"/>
      <c r="C10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>
        <f>SUM(tb_BaseDados[[#This Row],[Janeiro]:[Março]])</f>
        <v>0</v>
      </c>
      <c r="Q105" s="5">
        <f>SUM(tb_BaseDados[[#This Row],[Abril]:[Junho]])</f>
        <v>0</v>
      </c>
      <c r="R105" s="5">
        <f>SUM(tb_BaseDados[[#This Row],[Julho]:[Setembro]])</f>
        <v>0</v>
      </c>
      <c r="S105" s="5">
        <f>SUM(tb_BaseDados[[#This Row],[Outubro]:[Dezembro]])</f>
        <v>0</v>
      </c>
    </row>
    <row r="106" spans="1:19" x14ac:dyDescent="0.25">
      <c r="A106" s="4"/>
      <c r="C10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>
        <f>SUM(tb_BaseDados[[#This Row],[Janeiro]:[Março]])</f>
        <v>0</v>
      </c>
      <c r="Q106" s="5">
        <f>SUM(tb_BaseDados[[#This Row],[Abril]:[Junho]])</f>
        <v>0</v>
      </c>
      <c r="R106" s="5">
        <f>SUM(tb_BaseDados[[#This Row],[Julho]:[Setembro]])</f>
        <v>0</v>
      </c>
      <c r="S106" s="5">
        <f>SUM(tb_BaseDados[[#This Row],[Outubro]:[Dezembro]])</f>
        <v>0</v>
      </c>
    </row>
    <row r="107" spans="1:19" x14ac:dyDescent="0.25">
      <c r="A107" s="4"/>
      <c r="C10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>
        <f>SUM(tb_BaseDados[[#This Row],[Janeiro]:[Março]])</f>
        <v>0</v>
      </c>
      <c r="Q107" s="5">
        <f>SUM(tb_BaseDados[[#This Row],[Abril]:[Junho]])</f>
        <v>0</v>
      </c>
      <c r="R107" s="5">
        <f>SUM(tb_BaseDados[[#This Row],[Julho]:[Setembro]])</f>
        <v>0</v>
      </c>
      <c r="S107" s="5">
        <f>SUM(tb_BaseDados[[#This Row],[Outubro]:[Dezembro]])</f>
        <v>0</v>
      </c>
    </row>
    <row r="108" spans="1:19" x14ac:dyDescent="0.25">
      <c r="A108" s="4"/>
      <c r="C10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>
        <f>SUM(tb_BaseDados[[#This Row],[Janeiro]:[Março]])</f>
        <v>0</v>
      </c>
      <c r="Q108" s="5">
        <f>SUM(tb_BaseDados[[#This Row],[Abril]:[Junho]])</f>
        <v>0</v>
      </c>
      <c r="R108" s="5">
        <f>SUM(tb_BaseDados[[#This Row],[Julho]:[Setembro]])</f>
        <v>0</v>
      </c>
      <c r="S108" s="5">
        <f>SUM(tb_BaseDados[[#This Row],[Outubro]:[Dezembro]])</f>
        <v>0</v>
      </c>
    </row>
    <row r="109" spans="1:19" x14ac:dyDescent="0.25">
      <c r="A109" s="4"/>
      <c r="C10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>
        <f>SUM(tb_BaseDados[[#This Row],[Janeiro]:[Março]])</f>
        <v>0</v>
      </c>
      <c r="Q109" s="5">
        <f>SUM(tb_BaseDados[[#This Row],[Abril]:[Junho]])</f>
        <v>0</v>
      </c>
      <c r="R109" s="5">
        <f>SUM(tb_BaseDados[[#This Row],[Julho]:[Setembro]])</f>
        <v>0</v>
      </c>
      <c r="S109" s="5">
        <f>SUM(tb_BaseDados[[#This Row],[Outubro]:[Dezembro]])</f>
        <v>0</v>
      </c>
    </row>
    <row r="110" spans="1:19" x14ac:dyDescent="0.25">
      <c r="A110" s="4"/>
      <c r="C11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>
        <f>SUM(tb_BaseDados[[#This Row],[Janeiro]:[Março]])</f>
        <v>0</v>
      </c>
      <c r="Q110" s="5">
        <f>SUM(tb_BaseDados[[#This Row],[Abril]:[Junho]])</f>
        <v>0</v>
      </c>
      <c r="R110" s="5">
        <f>SUM(tb_BaseDados[[#This Row],[Julho]:[Setembro]])</f>
        <v>0</v>
      </c>
      <c r="S110" s="5">
        <f>SUM(tb_BaseDados[[#This Row],[Outubro]:[Dezembro]])</f>
        <v>0</v>
      </c>
    </row>
    <row r="111" spans="1:19" x14ac:dyDescent="0.25">
      <c r="A111" s="4"/>
      <c r="C11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>
        <f>SUM(tb_BaseDados[[#This Row],[Janeiro]:[Março]])</f>
        <v>0</v>
      </c>
      <c r="Q111" s="5">
        <f>SUM(tb_BaseDados[[#This Row],[Abril]:[Junho]])</f>
        <v>0</v>
      </c>
      <c r="R111" s="5">
        <f>SUM(tb_BaseDados[[#This Row],[Julho]:[Setembro]])</f>
        <v>0</v>
      </c>
      <c r="S111" s="5">
        <f>SUM(tb_BaseDados[[#This Row],[Outubro]:[Dezembro]])</f>
        <v>0</v>
      </c>
    </row>
    <row r="112" spans="1:19" x14ac:dyDescent="0.25">
      <c r="A112" s="4"/>
      <c r="C11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>
        <f>SUM(tb_BaseDados[[#This Row],[Janeiro]:[Março]])</f>
        <v>0</v>
      </c>
      <c r="Q112" s="5">
        <f>SUM(tb_BaseDados[[#This Row],[Abril]:[Junho]])</f>
        <v>0</v>
      </c>
      <c r="R112" s="5">
        <f>SUM(tb_BaseDados[[#This Row],[Julho]:[Setembro]])</f>
        <v>0</v>
      </c>
      <c r="S112" s="5">
        <f>SUM(tb_BaseDados[[#This Row],[Outubro]:[Dezembro]])</f>
        <v>0</v>
      </c>
    </row>
    <row r="113" spans="1:19" x14ac:dyDescent="0.25">
      <c r="A113" s="4"/>
      <c r="C11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>
        <f>SUM(tb_BaseDados[[#This Row],[Janeiro]:[Março]])</f>
        <v>0</v>
      </c>
      <c r="Q113" s="5">
        <f>SUM(tb_BaseDados[[#This Row],[Abril]:[Junho]])</f>
        <v>0</v>
      </c>
      <c r="R113" s="5">
        <f>SUM(tb_BaseDados[[#This Row],[Julho]:[Setembro]])</f>
        <v>0</v>
      </c>
      <c r="S113" s="5">
        <f>SUM(tb_BaseDados[[#This Row],[Outubro]:[Dezembro]])</f>
        <v>0</v>
      </c>
    </row>
    <row r="114" spans="1:19" x14ac:dyDescent="0.25">
      <c r="A114" s="4"/>
      <c r="C11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>
        <f>SUM(tb_BaseDados[[#This Row],[Janeiro]:[Março]])</f>
        <v>0</v>
      </c>
      <c r="Q114" s="5">
        <f>SUM(tb_BaseDados[[#This Row],[Abril]:[Junho]])</f>
        <v>0</v>
      </c>
      <c r="R114" s="5">
        <f>SUM(tb_BaseDados[[#This Row],[Julho]:[Setembro]])</f>
        <v>0</v>
      </c>
      <c r="S114" s="5">
        <f>SUM(tb_BaseDados[[#This Row],[Outubro]:[Dezembro]])</f>
        <v>0</v>
      </c>
    </row>
    <row r="115" spans="1:19" x14ac:dyDescent="0.25">
      <c r="A115" s="4"/>
      <c r="C11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>
        <f>SUM(tb_BaseDados[[#This Row],[Janeiro]:[Março]])</f>
        <v>0</v>
      </c>
      <c r="Q115" s="5">
        <f>SUM(tb_BaseDados[[#This Row],[Abril]:[Junho]])</f>
        <v>0</v>
      </c>
      <c r="R115" s="5">
        <f>SUM(tb_BaseDados[[#This Row],[Julho]:[Setembro]])</f>
        <v>0</v>
      </c>
      <c r="S115" s="5">
        <f>SUM(tb_BaseDados[[#This Row],[Outubro]:[Dezembro]])</f>
        <v>0</v>
      </c>
    </row>
    <row r="116" spans="1:19" x14ac:dyDescent="0.25">
      <c r="A116" s="4"/>
      <c r="C11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>
        <f>SUM(tb_BaseDados[[#This Row],[Janeiro]:[Março]])</f>
        <v>0</v>
      </c>
      <c r="Q116" s="5">
        <f>SUM(tb_BaseDados[[#This Row],[Abril]:[Junho]])</f>
        <v>0</v>
      </c>
      <c r="R116" s="5">
        <f>SUM(tb_BaseDados[[#This Row],[Julho]:[Setembro]])</f>
        <v>0</v>
      </c>
      <c r="S116" s="5">
        <f>SUM(tb_BaseDados[[#This Row],[Outubro]:[Dezembro]])</f>
        <v>0</v>
      </c>
    </row>
    <row r="117" spans="1:19" x14ac:dyDescent="0.25">
      <c r="A117" s="4"/>
      <c r="C11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>
        <f>SUM(tb_BaseDados[[#This Row],[Janeiro]:[Março]])</f>
        <v>0</v>
      </c>
      <c r="Q117" s="5">
        <f>SUM(tb_BaseDados[[#This Row],[Abril]:[Junho]])</f>
        <v>0</v>
      </c>
      <c r="R117" s="5">
        <f>SUM(tb_BaseDados[[#This Row],[Julho]:[Setembro]])</f>
        <v>0</v>
      </c>
      <c r="S117" s="5">
        <f>SUM(tb_BaseDados[[#This Row],[Outubro]:[Dezembro]])</f>
        <v>0</v>
      </c>
    </row>
    <row r="118" spans="1:19" x14ac:dyDescent="0.25">
      <c r="A118" s="4"/>
      <c r="C11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>
        <f>SUM(tb_BaseDados[[#This Row],[Janeiro]:[Março]])</f>
        <v>0</v>
      </c>
      <c r="Q118" s="5">
        <f>SUM(tb_BaseDados[[#This Row],[Abril]:[Junho]])</f>
        <v>0</v>
      </c>
      <c r="R118" s="5">
        <f>SUM(tb_BaseDados[[#This Row],[Julho]:[Setembro]])</f>
        <v>0</v>
      </c>
      <c r="S118" s="5">
        <f>SUM(tb_BaseDados[[#This Row],[Outubro]:[Dezembro]])</f>
        <v>0</v>
      </c>
    </row>
    <row r="119" spans="1:19" x14ac:dyDescent="0.25">
      <c r="A119" s="4"/>
      <c r="C11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>
        <f>SUM(tb_BaseDados[[#This Row],[Janeiro]:[Março]])</f>
        <v>0</v>
      </c>
      <c r="Q119" s="5">
        <f>SUM(tb_BaseDados[[#This Row],[Abril]:[Junho]])</f>
        <v>0</v>
      </c>
      <c r="R119" s="5">
        <f>SUM(tb_BaseDados[[#This Row],[Julho]:[Setembro]])</f>
        <v>0</v>
      </c>
      <c r="S119" s="5">
        <f>SUM(tb_BaseDados[[#This Row],[Outubro]:[Dezembro]])</f>
        <v>0</v>
      </c>
    </row>
    <row r="120" spans="1:19" x14ac:dyDescent="0.25">
      <c r="A120" s="4"/>
      <c r="C12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>
        <f>SUM(tb_BaseDados[[#This Row],[Janeiro]:[Março]])</f>
        <v>0</v>
      </c>
      <c r="Q120" s="5">
        <f>SUM(tb_BaseDados[[#This Row],[Abril]:[Junho]])</f>
        <v>0</v>
      </c>
      <c r="R120" s="5">
        <f>SUM(tb_BaseDados[[#This Row],[Julho]:[Setembro]])</f>
        <v>0</v>
      </c>
      <c r="S120" s="5">
        <f>SUM(tb_BaseDados[[#This Row],[Outubro]:[Dezembro]])</f>
        <v>0</v>
      </c>
    </row>
    <row r="121" spans="1:19" x14ac:dyDescent="0.25">
      <c r="A121" s="4"/>
      <c r="C12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>
        <f>SUM(tb_BaseDados[[#This Row],[Janeiro]:[Março]])</f>
        <v>0</v>
      </c>
      <c r="Q121" s="5">
        <f>SUM(tb_BaseDados[[#This Row],[Abril]:[Junho]])</f>
        <v>0</v>
      </c>
      <c r="R121" s="5">
        <f>SUM(tb_BaseDados[[#This Row],[Julho]:[Setembro]])</f>
        <v>0</v>
      </c>
      <c r="S121" s="5">
        <f>SUM(tb_BaseDados[[#This Row],[Outubro]:[Dezembro]])</f>
        <v>0</v>
      </c>
    </row>
    <row r="122" spans="1:19" x14ac:dyDescent="0.25">
      <c r="A122" s="4"/>
      <c r="C12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>
        <f>SUM(tb_BaseDados[[#This Row],[Janeiro]:[Março]])</f>
        <v>0</v>
      </c>
      <c r="Q122" s="5">
        <f>SUM(tb_BaseDados[[#This Row],[Abril]:[Junho]])</f>
        <v>0</v>
      </c>
      <c r="R122" s="5">
        <f>SUM(tb_BaseDados[[#This Row],[Julho]:[Setembro]])</f>
        <v>0</v>
      </c>
      <c r="S122" s="5">
        <f>SUM(tb_BaseDados[[#This Row],[Outubro]:[Dezembro]])</f>
        <v>0</v>
      </c>
    </row>
    <row r="123" spans="1:19" x14ac:dyDescent="0.25">
      <c r="A123" s="4"/>
      <c r="C12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>
        <f>SUM(tb_BaseDados[[#This Row],[Janeiro]:[Março]])</f>
        <v>0</v>
      </c>
      <c r="Q123" s="5">
        <f>SUM(tb_BaseDados[[#This Row],[Abril]:[Junho]])</f>
        <v>0</v>
      </c>
      <c r="R123" s="5">
        <f>SUM(tb_BaseDados[[#This Row],[Julho]:[Setembro]])</f>
        <v>0</v>
      </c>
      <c r="S123" s="5">
        <f>SUM(tb_BaseDados[[#This Row],[Outubro]:[Dezembro]])</f>
        <v>0</v>
      </c>
    </row>
    <row r="124" spans="1:19" x14ac:dyDescent="0.25">
      <c r="A124" s="4"/>
      <c r="C12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>
        <f>SUM(tb_BaseDados[[#This Row],[Janeiro]:[Março]])</f>
        <v>0</v>
      </c>
      <c r="Q124" s="5">
        <f>SUM(tb_BaseDados[[#This Row],[Abril]:[Junho]])</f>
        <v>0</v>
      </c>
      <c r="R124" s="5">
        <f>SUM(tb_BaseDados[[#This Row],[Julho]:[Setembro]])</f>
        <v>0</v>
      </c>
      <c r="S124" s="5">
        <f>SUM(tb_BaseDados[[#This Row],[Outubro]:[Dezembro]])</f>
        <v>0</v>
      </c>
    </row>
    <row r="125" spans="1:19" x14ac:dyDescent="0.25">
      <c r="A125" s="4"/>
      <c r="C12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>
        <f>SUM(tb_BaseDados[[#This Row],[Janeiro]:[Março]])</f>
        <v>0</v>
      </c>
      <c r="Q125" s="5">
        <f>SUM(tb_BaseDados[[#This Row],[Abril]:[Junho]])</f>
        <v>0</v>
      </c>
      <c r="R125" s="5">
        <f>SUM(tb_BaseDados[[#This Row],[Julho]:[Setembro]])</f>
        <v>0</v>
      </c>
      <c r="S125" s="5">
        <f>SUM(tb_BaseDados[[#This Row],[Outubro]:[Dezembro]])</f>
        <v>0</v>
      </c>
    </row>
    <row r="126" spans="1:19" x14ac:dyDescent="0.25">
      <c r="A126" s="4"/>
      <c r="C12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>
        <f>SUM(tb_BaseDados[[#This Row],[Janeiro]:[Março]])</f>
        <v>0</v>
      </c>
      <c r="Q126" s="5">
        <f>SUM(tb_BaseDados[[#This Row],[Abril]:[Junho]])</f>
        <v>0</v>
      </c>
      <c r="R126" s="5">
        <f>SUM(tb_BaseDados[[#This Row],[Julho]:[Setembro]])</f>
        <v>0</v>
      </c>
      <c r="S126" s="5">
        <f>SUM(tb_BaseDados[[#This Row],[Outubro]:[Dezembro]])</f>
        <v>0</v>
      </c>
    </row>
    <row r="127" spans="1:19" x14ac:dyDescent="0.25">
      <c r="A127" s="4"/>
      <c r="C12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>
        <f>SUM(tb_BaseDados[[#This Row],[Janeiro]:[Março]])</f>
        <v>0</v>
      </c>
      <c r="Q127" s="5">
        <f>SUM(tb_BaseDados[[#This Row],[Abril]:[Junho]])</f>
        <v>0</v>
      </c>
      <c r="R127" s="5">
        <f>SUM(tb_BaseDados[[#This Row],[Julho]:[Setembro]])</f>
        <v>0</v>
      </c>
      <c r="S127" s="5">
        <f>SUM(tb_BaseDados[[#This Row],[Outubro]:[Dezembro]])</f>
        <v>0</v>
      </c>
    </row>
    <row r="128" spans="1:19" x14ac:dyDescent="0.25">
      <c r="A128" s="4"/>
      <c r="C12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>
        <f>SUM(tb_BaseDados[[#This Row],[Janeiro]:[Março]])</f>
        <v>0</v>
      </c>
      <c r="Q128" s="5">
        <f>SUM(tb_BaseDados[[#This Row],[Abril]:[Junho]])</f>
        <v>0</v>
      </c>
      <c r="R128" s="5">
        <f>SUM(tb_BaseDados[[#This Row],[Julho]:[Setembro]])</f>
        <v>0</v>
      </c>
      <c r="S128" s="5">
        <f>SUM(tb_BaseDados[[#This Row],[Outubro]:[Dezembro]])</f>
        <v>0</v>
      </c>
    </row>
    <row r="129" spans="1:19" x14ac:dyDescent="0.25">
      <c r="A129" s="4"/>
      <c r="C12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>
        <f>SUM(tb_BaseDados[[#This Row],[Janeiro]:[Março]])</f>
        <v>0</v>
      </c>
      <c r="Q129" s="5">
        <f>SUM(tb_BaseDados[[#This Row],[Abril]:[Junho]])</f>
        <v>0</v>
      </c>
      <c r="R129" s="5">
        <f>SUM(tb_BaseDados[[#This Row],[Julho]:[Setembro]])</f>
        <v>0</v>
      </c>
      <c r="S129" s="5">
        <f>SUM(tb_BaseDados[[#This Row],[Outubro]:[Dezembro]])</f>
        <v>0</v>
      </c>
    </row>
    <row r="130" spans="1:19" x14ac:dyDescent="0.25">
      <c r="A130" s="4"/>
      <c r="C1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>
        <f>SUM(tb_BaseDados[[#This Row],[Janeiro]:[Março]])</f>
        <v>0</v>
      </c>
      <c r="Q130" s="5">
        <f>SUM(tb_BaseDados[[#This Row],[Abril]:[Junho]])</f>
        <v>0</v>
      </c>
      <c r="R130" s="5">
        <f>SUM(tb_BaseDados[[#This Row],[Julho]:[Setembro]])</f>
        <v>0</v>
      </c>
      <c r="S130" s="5">
        <f>SUM(tb_BaseDados[[#This Row],[Outubro]:[Dezembro]])</f>
        <v>0</v>
      </c>
    </row>
    <row r="131" spans="1:19" x14ac:dyDescent="0.25">
      <c r="A131" s="4"/>
      <c r="C13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>
        <f>SUM(tb_BaseDados[[#This Row],[Janeiro]:[Março]])</f>
        <v>0</v>
      </c>
      <c r="Q131" s="5">
        <f>SUM(tb_BaseDados[[#This Row],[Abril]:[Junho]])</f>
        <v>0</v>
      </c>
      <c r="R131" s="5">
        <f>SUM(tb_BaseDados[[#This Row],[Julho]:[Setembro]])</f>
        <v>0</v>
      </c>
      <c r="S131" s="5">
        <f>SUM(tb_BaseDados[[#This Row],[Outubro]:[Dezembro]])</f>
        <v>0</v>
      </c>
    </row>
    <row r="132" spans="1:19" x14ac:dyDescent="0.25">
      <c r="A132" s="4"/>
      <c r="C13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>
        <f>SUM(tb_BaseDados[[#This Row],[Janeiro]:[Março]])</f>
        <v>0</v>
      </c>
      <c r="Q132" s="5">
        <f>SUM(tb_BaseDados[[#This Row],[Abril]:[Junho]])</f>
        <v>0</v>
      </c>
      <c r="R132" s="5">
        <f>SUM(tb_BaseDados[[#This Row],[Julho]:[Setembro]])</f>
        <v>0</v>
      </c>
      <c r="S132" s="5">
        <f>SUM(tb_BaseDados[[#This Row],[Outubro]:[Dezembro]])</f>
        <v>0</v>
      </c>
    </row>
    <row r="133" spans="1:19" x14ac:dyDescent="0.25">
      <c r="A133" s="4"/>
      <c r="C13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>
        <f>SUM(tb_BaseDados[[#This Row],[Janeiro]:[Março]])</f>
        <v>0</v>
      </c>
      <c r="Q133" s="5">
        <f>SUM(tb_BaseDados[[#This Row],[Abril]:[Junho]])</f>
        <v>0</v>
      </c>
      <c r="R133" s="5">
        <f>SUM(tb_BaseDados[[#This Row],[Julho]:[Setembro]])</f>
        <v>0</v>
      </c>
      <c r="S133" s="5">
        <f>SUM(tb_BaseDados[[#This Row],[Outubro]:[Dezembro]])</f>
        <v>0</v>
      </c>
    </row>
    <row r="134" spans="1:19" x14ac:dyDescent="0.25">
      <c r="A134" s="4"/>
      <c r="C13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>
        <f>SUM(tb_BaseDados[[#This Row],[Janeiro]:[Março]])</f>
        <v>0</v>
      </c>
      <c r="Q134" s="5">
        <f>SUM(tb_BaseDados[[#This Row],[Abril]:[Junho]])</f>
        <v>0</v>
      </c>
      <c r="R134" s="5">
        <f>SUM(tb_BaseDados[[#This Row],[Julho]:[Setembro]])</f>
        <v>0</v>
      </c>
      <c r="S134" s="5">
        <f>SUM(tb_BaseDados[[#This Row],[Outubro]:[Dezembro]])</f>
        <v>0</v>
      </c>
    </row>
    <row r="135" spans="1:19" x14ac:dyDescent="0.25">
      <c r="A135" s="4"/>
      <c r="C13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>
        <f>SUM(tb_BaseDados[[#This Row],[Janeiro]:[Março]])</f>
        <v>0</v>
      </c>
      <c r="Q135" s="5">
        <f>SUM(tb_BaseDados[[#This Row],[Abril]:[Junho]])</f>
        <v>0</v>
      </c>
      <c r="R135" s="5">
        <f>SUM(tb_BaseDados[[#This Row],[Julho]:[Setembro]])</f>
        <v>0</v>
      </c>
      <c r="S135" s="5">
        <f>SUM(tb_BaseDados[[#This Row],[Outubro]:[Dezembro]])</f>
        <v>0</v>
      </c>
    </row>
    <row r="136" spans="1:19" x14ac:dyDescent="0.25">
      <c r="A136" s="4"/>
      <c r="C13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>
        <f>SUM(tb_BaseDados[[#This Row],[Janeiro]:[Março]])</f>
        <v>0</v>
      </c>
      <c r="Q136" s="5">
        <f>SUM(tb_BaseDados[[#This Row],[Abril]:[Junho]])</f>
        <v>0</v>
      </c>
      <c r="R136" s="5">
        <f>SUM(tb_BaseDados[[#This Row],[Julho]:[Setembro]])</f>
        <v>0</v>
      </c>
      <c r="S136" s="5">
        <f>SUM(tb_BaseDados[[#This Row],[Outubro]:[Dezembro]])</f>
        <v>0</v>
      </c>
    </row>
    <row r="137" spans="1:19" x14ac:dyDescent="0.25">
      <c r="A137" s="4"/>
      <c r="C13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>
        <f>SUM(tb_BaseDados[[#This Row],[Janeiro]:[Março]])</f>
        <v>0</v>
      </c>
      <c r="Q137" s="5">
        <f>SUM(tb_BaseDados[[#This Row],[Abril]:[Junho]])</f>
        <v>0</v>
      </c>
      <c r="R137" s="5">
        <f>SUM(tb_BaseDados[[#This Row],[Julho]:[Setembro]])</f>
        <v>0</v>
      </c>
      <c r="S137" s="5">
        <f>SUM(tb_BaseDados[[#This Row],[Outubro]:[Dezembro]])</f>
        <v>0</v>
      </c>
    </row>
    <row r="138" spans="1:19" x14ac:dyDescent="0.25">
      <c r="A138" s="4"/>
      <c r="C13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>
        <f>SUM(tb_BaseDados[[#This Row],[Janeiro]:[Março]])</f>
        <v>0</v>
      </c>
      <c r="Q138" s="5">
        <f>SUM(tb_BaseDados[[#This Row],[Abril]:[Junho]])</f>
        <v>0</v>
      </c>
      <c r="R138" s="5">
        <f>SUM(tb_BaseDados[[#This Row],[Julho]:[Setembro]])</f>
        <v>0</v>
      </c>
      <c r="S138" s="5">
        <f>SUM(tb_BaseDados[[#This Row],[Outubro]:[Dezembro]])</f>
        <v>0</v>
      </c>
    </row>
    <row r="139" spans="1:19" x14ac:dyDescent="0.25">
      <c r="A139" s="4"/>
      <c r="C13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>
        <f>SUM(tb_BaseDados[[#This Row],[Janeiro]:[Março]])</f>
        <v>0</v>
      </c>
      <c r="Q139" s="5">
        <f>SUM(tb_BaseDados[[#This Row],[Abril]:[Junho]])</f>
        <v>0</v>
      </c>
      <c r="R139" s="5">
        <f>SUM(tb_BaseDados[[#This Row],[Julho]:[Setembro]])</f>
        <v>0</v>
      </c>
      <c r="S139" s="5">
        <f>SUM(tb_BaseDados[[#This Row],[Outubro]:[Dezembro]])</f>
        <v>0</v>
      </c>
    </row>
    <row r="140" spans="1:19" x14ac:dyDescent="0.25">
      <c r="A140" s="4"/>
      <c r="C14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>
        <f>SUM(tb_BaseDados[[#This Row],[Janeiro]:[Março]])</f>
        <v>0</v>
      </c>
      <c r="Q140" s="5">
        <f>SUM(tb_BaseDados[[#This Row],[Abril]:[Junho]])</f>
        <v>0</v>
      </c>
      <c r="R140" s="5">
        <f>SUM(tb_BaseDados[[#This Row],[Julho]:[Setembro]])</f>
        <v>0</v>
      </c>
      <c r="S140" s="5">
        <f>SUM(tb_BaseDados[[#This Row],[Outubro]:[Dezembro]])</f>
        <v>0</v>
      </c>
    </row>
    <row r="141" spans="1:19" x14ac:dyDescent="0.25">
      <c r="A141" s="4"/>
      <c r="C14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>
        <f>SUM(tb_BaseDados[[#This Row],[Janeiro]:[Março]])</f>
        <v>0</v>
      </c>
      <c r="Q141" s="5">
        <f>SUM(tb_BaseDados[[#This Row],[Abril]:[Junho]])</f>
        <v>0</v>
      </c>
      <c r="R141" s="5">
        <f>SUM(tb_BaseDados[[#This Row],[Julho]:[Setembro]])</f>
        <v>0</v>
      </c>
      <c r="S141" s="5">
        <f>SUM(tb_BaseDados[[#This Row],[Outubro]:[Dezembro]])</f>
        <v>0</v>
      </c>
    </row>
    <row r="142" spans="1:19" x14ac:dyDescent="0.25">
      <c r="A142" s="4"/>
      <c r="C14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>
        <f>SUM(tb_BaseDados[[#This Row],[Janeiro]:[Março]])</f>
        <v>0</v>
      </c>
      <c r="Q142" s="5">
        <f>SUM(tb_BaseDados[[#This Row],[Abril]:[Junho]])</f>
        <v>0</v>
      </c>
      <c r="R142" s="5">
        <f>SUM(tb_BaseDados[[#This Row],[Julho]:[Setembro]])</f>
        <v>0</v>
      </c>
      <c r="S142" s="5">
        <f>SUM(tb_BaseDados[[#This Row],[Outubro]:[Dezembro]])</f>
        <v>0</v>
      </c>
    </row>
    <row r="143" spans="1:19" x14ac:dyDescent="0.25">
      <c r="A143" s="4"/>
      <c r="C14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>
        <f>SUM(tb_BaseDados[[#This Row],[Janeiro]:[Março]])</f>
        <v>0</v>
      </c>
      <c r="Q143" s="5">
        <f>SUM(tb_BaseDados[[#This Row],[Abril]:[Junho]])</f>
        <v>0</v>
      </c>
      <c r="R143" s="5">
        <f>SUM(tb_BaseDados[[#This Row],[Julho]:[Setembro]])</f>
        <v>0</v>
      </c>
      <c r="S143" s="5">
        <f>SUM(tb_BaseDados[[#This Row],[Outubro]:[Dezembro]])</f>
        <v>0</v>
      </c>
    </row>
    <row r="144" spans="1:19" x14ac:dyDescent="0.25">
      <c r="A144" s="4"/>
      <c r="C14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>
        <f>SUM(tb_BaseDados[[#This Row],[Janeiro]:[Março]])</f>
        <v>0</v>
      </c>
      <c r="Q144" s="5">
        <f>SUM(tb_BaseDados[[#This Row],[Abril]:[Junho]])</f>
        <v>0</v>
      </c>
      <c r="R144" s="5">
        <f>SUM(tb_BaseDados[[#This Row],[Julho]:[Setembro]])</f>
        <v>0</v>
      </c>
      <c r="S144" s="5">
        <f>SUM(tb_BaseDados[[#This Row],[Outubro]:[Dezembro]])</f>
        <v>0</v>
      </c>
    </row>
    <row r="145" spans="1:19" x14ac:dyDescent="0.25">
      <c r="A145" s="4"/>
      <c r="C14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>
        <f>SUM(tb_BaseDados[[#This Row],[Janeiro]:[Março]])</f>
        <v>0</v>
      </c>
      <c r="Q145" s="5">
        <f>SUM(tb_BaseDados[[#This Row],[Abril]:[Junho]])</f>
        <v>0</v>
      </c>
      <c r="R145" s="5">
        <f>SUM(tb_BaseDados[[#This Row],[Julho]:[Setembro]])</f>
        <v>0</v>
      </c>
      <c r="S145" s="5">
        <f>SUM(tb_BaseDados[[#This Row],[Outubro]:[Dezembro]])</f>
        <v>0</v>
      </c>
    </row>
    <row r="146" spans="1:19" x14ac:dyDescent="0.25">
      <c r="A146" s="4"/>
      <c r="C14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>
        <f>SUM(tb_BaseDados[[#This Row],[Janeiro]:[Março]])</f>
        <v>0</v>
      </c>
      <c r="Q146" s="5">
        <f>SUM(tb_BaseDados[[#This Row],[Abril]:[Junho]])</f>
        <v>0</v>
      </c>
      <c r="R146" s="5">
        <f>SUM(tb_BaseDados[[#This Row],[Julho]:[Setembro]])</f>
        <v>0</v>
      </c>
      <c r="S146" s="5">
        <f>SUM(tb_BaseDados[[#This Row],[Outubro]:[Dezembro]])</f>
        <v>0</v>
      </c>
    </row>
    <row r="147" spans="1:19" x14ac:dyDescent="0.25">
      <c r="A147" s="4"/>
      <c r="C14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>
        <f>SUM(tb_BaseDados[[#This Row],[Janeiro]:[Março]])</f>
        <v>0</v>
      </c>
      <c r="Q147" s="5">
        <f>SUM(tb_BaseDados[[#This Row],[Abril]:[Junho]])</f>
        <v>0</v>
      </c>
      <c r="R147" s="5">
        <f>SUM(tb_BaseDados[[#This Row],[Julho]:[Setembro]])</f>
        <v>0</v>
      </c>
      <c r="S147" s="5">
        <f>SUM(tb_BaseDados[[#This Row],[Outubro]:[Dezembro]])</f>
        <v>0</v>
      </c>
    </row>
    <row r="148" spans="1:19" x14ac:dyDescent="0.25">
      <c r="A148" s="4"/>
      <c r="C14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>
        <f>SUM(tb_BaseDados[[#This Row],[Janeiro]:[Março]])</f>
        <v>0</v>
      </c>
      <c r="Q148" s="5">
        <f>SUM(tb_BaseDados[[#This Row],[Abril]:[Junho]])</f>
        <v>0</v>
      </c>
      <c r="R148" s="5">
        <f>SUM(tb_BaseDados[[#This Row],[Julho]:[Setembro]])</f>
        <v>0</v>
      </c>
      <c r="S148" s="5">
        <f>SUM(tb_BaseDados[[#This Row],[Outubro]:[Dezembro]])</f>
        <v>0</v>
      </c>
    </row>
    <row r="149" spans="1:19" x14ac:dyDescent="0.25">
      <c r="A149" s="4"/>
      <c r="C14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>
        <f>SUM(tb_BaseDados[[#This Row],[Janeiro]:[Março]])</f>
        <v>0</v>
      </c>
      <c r="Q149" s="5">
        <f>SUM(tb_BaseDados[[#This Row],[Abril]:[Junho]])</f>
        <v>0</v>
      </c>
      <c r="R149" s="5">
        <f>SUM(tb_BaseDados[[#This Row],[Julho]:[Setembro]])</f>
        <v>0</v>
      </c>
      <c r="S149" s="5">
        <f>SUM(tb_BaseDados[[#This Row],[Outubro]:[Dezembro]])</f>
        <v>0</v>
      </c>
    </row>
    <row r="150" spans="1:19" x14ac:dyDescent="0.25">
      <c r="A150" s="4"/>
      <c r="C15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>
        <f>SUM(tb_BaseDados[[#This Row],[Janeiro]:[Março]])</f>
        <v>0</v>
      </c>
      <c r="Q150" s="5">
        <f>SUM(tb_BaseDados[[#This Row],[Abril]:[Junho]])</f>
        <v>0</v>
      </c>
      <c r="R150" s="5">
        <f>SUM(tb_BaseDados[[#This Row],[Julho]:[Setembro]])</f>
        <v>0</v>
      </c>
      <c r="S150" s="5">
        <f>SUM(tb_BaseDados[[#This Row],[Outubro]:[Dezembro]])</f>
        <v>0</v>
      </c>
    </row>
    <row r="151" spans="1:19" x14ac:dyDescent="0.25">
      <c r="A151" s="4"/>
      <c r="C15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>
        <f>SUM(tb_BaseDados[[#This Row],[Janeiro]:[Março]])</f>
        <v>0</v>
      </c>
      <c r="Q151" s="5">
        <f>SUM(tb_BaseDados[[#This Row],[Abril]:[Junho]])</f>
        <v>0</v>
      </c>
      <c r="R151" s="5">
        <f>SUM(tb_BaseDados[[#This Row],[Julho]:[Setembro]])</f>
        <v>0</v>
      </c>
      <c r="S151" s="5">
        <f>SUM(tb_BaseDados[[#This Row],[Outubro]:[Dezembro]])</f>
        <v>0</v>
      </c>
    </row>
    <row r="152" spans="1:19" x14ac:dyDescent="0.25">
      <c r="A152" s="4"/>
      <c r="C15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>
        <f>SUM(tb_BaseDados[[#This Row],[Janeiro]:[Março]])</f>
        <v>0</v>
      </c>
      <c r="Q152" s="5">
        <f>SUM(tb_BaseDados[[#This Row],[Abril]:[Junho]])</f>
        <v>0</v>
      </c>
      <c r="R152" s="5">
        <f>SUM(tb_BaseDados[[#This Row],[Julho]:[Setembro]])</f>
        <v>0</v>
      </c>
      <c r="S152" s="5">
        <f>SUM(tb_BaseDados[[#This Row],[Outubro]:[Dezembro]])</f>
        <v>0</v>
      </c>
    </row>
    <row r="153" spans="1:19" x14ac:dyDescent="0.25">
      <c r="A153" s="4"/>
      <c r="C15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>
        <f>SUM(tb_BaseDados[[#This Row],[Janeiro]:[Março]])</f>
        <v>0</v>
      </c>
      <c r="Q153" s="5">
        <f>SUM(tb_BaseDados[[#This Row],[Abril]:[Junho]])</f>
        <v>0</v>
      </c>
      <c r="R153" s="5">
        <f>SUM(tb_BaseDados[[#This Row],[Julho]:[Setembro]])</f>
        <v>0</v>
      </c>
      <c r="S153" s="5">
        <f>SUM(tb_BaseDados[[#This Row],[Outubro]:[Dezembro]])</f>
        <v>0</v>
      </c>
    </row>
    <row r="154" spans="1:19" x14ac:dyDescent="0.25">
      <c r="A154" s="4"/>
      <c r="C15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>
        <f>SUM(tb_BaseDados[[#This Row],[Janeiro]:[Março]])</f>
        <v>0</v>
      </c>
      <c r="Q154" s="5">
        <f>SUM(tb_BaseDados[[#This Row],[Abril]:[Junho]])</f>
        <v>0</v>
      </c>
      <c r="R154" s="5">
        <f>SUM(tb_BaseDados[[#This Row],[Julho]:[Setembro]])</f>
        <v>0</v>
      </c>
      <c r="S154" s="5">
        <f>SUM(tb_BaseDados[[#This Row],[Outubro]:[Dezembro]])</f>
        <v>0</v>
      </c>
    </row>
    <row r="155" spans="1:19" x14ac:dyDescent="0.25">
      <c r="A155" s="4"/>
      <c r="C15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>
        <f>SUM(tb_BaseDados[[#This Row],[Janeiro]:[Março]])</f>
        <v>0</v>
      </c>
      <c r="Q155" s="5">
        <f>SUM(tb_BaseDados[[#This Row],[Abril]:[Junho]])</f>
        <v>0</v>
      </c>
      <c r="R155" s="5">
        <f>SUM(tb_BaseDados[[#This Row],[Julho]:[Setembro]])</f>
        <v>0</v>
      </c>
      <c r="S155" s="5">
        <f>SUM(tb_BaseDados[[#This Row],[Outubro]:[Dezembro]])</f>
        <v>0</v>
      </c>
    </row>
    <row r="156" spans="1:19" x14ac:dyDescent="0.25">
      <c r="A156" s="4"/>
      <c r="C15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>
        <f>SUM(tb_BaseDados[[#This Row],[Janeiro]:[Março]])</f>
        <v>0</v>
      </c>
      <c r="Q156" s="5">
        <f>SUM(tb_BaseDados[[#This Row],[Abril]:[Junho]])</f>
        <v>0</v>
      </c>
      <c r="R156" s="5">
        <f>SUM(tb_BaseDados[[#This Row],[Julho]:[Setembro]])</f>
        <v>0</v>
      </c>
      <c r="S156" s="5">
        <f>SUM(tb_BaseDados[[#This Row],[Outubro]:[Dezembro]])</f>
        <v>0</v>
      </c>
    </row>
    <row r="157" spans="1:19" x14ac:dyDescent="0.25">
      <c r="A157" s="4"/>
      <c r="C15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>
        <f>SUM(tb_BaseDados[[#This Row],[Janeiro]:[Março]])</f>
        <v>0</v>
      </c>
      <c r="Q157" s="5">
        <f>SUM(tb_BaseDados[[#This Row],[Abril]:[Junho]])</f>
        <v>0</v>
      </c>
      <c r="R157" s="5">
        <f>SUM(tb_BaseDados[[#This Row],[Julho]:[Setembro]])</f>
        <v>0</v>
      </c>
      <c r="S157" s="5">
        <f>SUM(tb_BaseDados[[#This Row],[Outubro]:[Dezembro]])</f>
        <v>0</v>
      </c>
    </row>
    <row r="158" spans="1:19" x14ac:dyDescent="0.25">
      <c r="A158" s="4"/>
      <c r="C15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>
        <f>SUM(tb_BaseDados[[#This Row],[Janeiro]:[Março]])</f>
        <v>0</v>
      </c>
      <c r="Q158" s="5">
        <f>SUM(tb_BaseDados[[#This Row],[Abril]:[Junho]])</f>
        <v>0</v>
      </c>
      <c r="R158" s="5">
        <f>SUM(tb_BaseDados[[#This Row],[Julho]:[Setembro]])</f>
        <v>0</v>
      </c>
      <c r="S158" s="5">
        <f>SUM(tb_BaseDados[[#This Row],[Outubro]:[Dezembro]])</f>
        <v>0</v>
      </c>
    </row>
    <row r="159" spans="1:19" x14ac:dyDescent="0.25">
      <c r="A159" s="4"/>
      <c r="C15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>
        <f>SUM(tb_BaseDados[[#This Row],[Janeiro]:[Março]])</f>
        <v>0</v>
      </c>
      <c r="Q159" s="5">
        <f>SUM(tb_BaseDados[[#This Row],[Abril]:[Junho]])</f>
        <v>0</v>
      </c>
      <c r="R159" s="5">
        <f>SUM(tb_BaseDados[[#This Row],[Julho]:[Setembro]])</f>
        <v>0</v>
      </c>
      <c r="S159" s="5">
        <f>SUM(tb_BaseDados[[#This Row],[Outubro]:[Dezembro]])</f>
        <v>0</v>
      </c>
    </row>
    <row r="160" spans="1:19" x14ac:dyDescent="0.25">
      <c r="A160" s="4"/>
      <c r="C16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>
        <f>SUM(tb_BaseDados[[#This Row],[Janeiro]:[Março]])</f>
        <v>0</v>
      </c>
      <c r="Q160" s="5">
        <f>SUM(tb_BaseDados[[#This Row],[Abril]:[Junho]])</f>
        <v>0</v>
      </c>
      <c r="R160" s="5">
        <f>SUM(tb_BaseDados[[#This Row],[Julho]:[Setembro]])</f>
        <v>0</v>
      </c>
      <c r="S160" s="5">
        <f>SUM(tb_BaseDados[[#This Row],[Outubro]:[Dezembro]])</f>
        <v>0</v>
      </c>
    </row>
    <row r="161" spans="1:19" x14ac:dyDescent="0.25">
      <c r="A161" s="4"/>
      <c r="C16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>
        <f>SUM(tb_BaseDados[[#This Row],[Janeiro]:[Março]])</f>
        <v>0</v>
      </c>
      <c r="Q161" s="5">
        <f>SUM(tb_BaseDados[[#This Row],[Abril]:[Junho]])</f>
        <v>0</v>
      </c>
      <c r="R161" s="5">
        <f>SUM(tb_BaseDados[[#This Row],[Julho]:[Setembro]])</f>
        <v>0</v>
      </c>
      <c r="S161" s="5">
        <f>SUM(tb_BaseDados[[#This Row],[Outubro]:[Dezembro]])</f>
        <v>0</v>
      </c>
    </row>
    <row r="162" spans="1:19" x14ac:dyDescent="0.25">
      <c r="A162" s="4"/>
      <c r="C16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>
        <f>SUM(tb_BaseDados[[#This Row],[Janeiro]:[Março]])</f>
        <v>0</v>
      </c>
      <c r="Q162" s="5">
        <f>SUM(tb_BaseDados[[#This Row],[Abril]:[Junho]])</f>
        <v>0</v>
      </c>
      <c r="R162" s="5">
        <f>SUM(tb_BaseDados[[#This Row],[Julho]:[Setembro]])</f>
        <v>0</v>
      </c>
      <c r="S162" s="5">
        <f>SUM(tb_BaseDados[[#This Row],[Outubro]:[Dezembro]])</f>
        <v>0</v>
      </c>
    </row>
    <row r="163" spans="1:19" x14ac:dyDescent="0.25">
      <c r="A163" s="4"/>
      <c r="C16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>
        <f>SUM(tb_BaseDados[[#This Row],[Janeiro]:[Março]])</f>
        <v>0</v>
      </c>
      <c r="Q163" s="5">
        <f>SUM(tb_BaseDados[[#This Row],[Abril]:[Junho]])</f>
        <v>0</v>
      </c>
      <c r="R163" s="5">
        <f>SUM(tb_BaseDados[[#This Row],[Julho]:[Setembro]])</f>
        <v>0</v>
      </c>
      <c r="S163" s="5">
        <f>SUM(tb_BaseDados[[#This Row],[Outubro]:[Dezembro]])</f>
        <v>0</v>
      </c>
    </row>
    <row r="164" spans="1:19" x14ac:dyDescent="0.25">
      <c r="A164" s="4"/>
      <c r="C16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>
        <f>SUM(tb_BaseDados[[#This Row],[Janeiro]:[Março]])</f>
        <v>0</v>
      </c>
      <c r="Q164" s="5">
        <f>SUM(tb_BaseDados[[#This Row],[Abril]:[Junho]])</f>
        <v>0</v>
      </c>
      <c r="R164" s="5">
        <f>SUM(tb_BaseDados[[#This Row],[Julho]:[Setembro]])</f>
        <v>0</v>
      </c>
      <c r="S164" s="5">
        <f>SUM(tb_BaseDados[[#This Row],[Outubro]:[Dezembro]])</f>
        <v>0</v>
      </c>
    </row>
    <row r="165" spans="1:19" x14ac:dyDescent="0.25">
      <c r="A165" s="4"/>
      <c r="C16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>
        <f>SUM(tb_BaseDados[[#This Row],[Janeiro]:[Março]])</f>
        <v>0</v>
      </c>
      <c r="Q165" s="5">
        <f>SUM(tb_BaseDados[[#This Row],[Abril]:[Junho]])</f>
        <v>0</v>
      </c>
      <c r="R165" s="5">
        <f>SUM(tb_BaseDados[[#This Row],[Julho]:[Setembro]])</f>
        <v>0</v>
      </c>
      <c r="S165" s="5">
        <f>SUM(tb_BaseDados[[#This Row],[Outubro]:[Dezembro]])</f>
        <v>0</v>
      </c>
    </row>
    <row r="166" spans="1:19" x14ac:dyDescent="0.25">
      <c r="A166" s="4"/>
      <c r="C16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>
        <f>SUM(tb_BaseDados[[#This Row],[Janeiro]:[Março]])</f>
        <v>0</v>
      </c>
      <c r="Q166" s="5">
        <f>SUM(tb_BaseDados[[#This Row],[Abril]:[Junho]])</f>
        <v>0</v>
      </c>
      <c r="R166" s="5">
        <f>SUM(tb_BaseDados[[#This Row],[Julho]:[Setembro]])</f>
        <v>0</v>
      </c>
      <c r="S166" s="5">
        <f>SUM(tb_BaseDados[[#This Row],[Outubro]:[Dezembro]])</f>
        <v>0</v>
      </c>
    </row>
    <row r="167" spans="1:19" x14ac:dyDescent="0.25">
      <c r="A167" s="4"/>
      <c r="C16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>
        <f>SUM(tb_BaseDados[[#This Row],[Janeiro]:[Março]])</f>
        <v>0</v>
      </c>
      <c r="Q167" s="5">
        <f>SUM(tb_BaseDados[[#This Row],[Abril]:[Junho]])</f>
        <v>0</v>
      </c>
      <c r="R167" s="5">
        <f>SUM(tb_BaseDados[[#This Row],[Julho]:[Setembro]])</f>
        <v>0</v>
      </c>
      <c r="S167" s="5">
        <f>SUM(tb_BaseDados[[#This Row],[Outubro]:[Dezembro]])</f>
        <v>0</v>
      </c>
    </row>
    <row r="168" spans="1:19" x14ac:dyDescent="0.25">
      <c r="A168" s="4"/>
      <c r="C16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>
        <f>SUM(tb_BaseDados[[#This Row],[Janeiro]:[Março]])</f>
        <v>0</v>
      </c>
      <c r="Q168" s="5">
        <f>SUM(tb_BaseDados[[#This Row],[Abril]:[Junho]])</f>
        <v>0</v>
      </c>
      <c r="R168" s="5">
        <f>SUM(tb_BaseDados[[#This Row],[Julho]:[Setembro]])</f>
        <v>0</v>
      </c>
      <c r="S168" s="5">
        <f>SUM(tb_BaseDados[[#This Row],[Outubro]:[Dezembro]])</f>
        <v>0</v>
      </c>
    </row>
    <row r="169" spans="1:19" x14ac:dyDescent="0.25">
      <c r="A169" s="4"/>
      <c r="C16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>
        <f>SUM(tb_BaseDados[[#This Row],[Janeiro]:[Março]])</f>
        <v>0</v>
      </c>
      <c r="Q169" s="5">
        <f>SUM(tb_BaseDados[[#This Row],[Abril]:[Junho]])</f>
        <v>0</v>
      </c>
      <c r="R169" s="5">
        <f>SUM(tb_BaseDados[[#This Row],[Julho]:[Setembro]])</f>
        <v>0</v>
      </c>
      <c r="S169" s="5">
        <f>SUM(tb_BaseDados[[#This Row],[Outubro]:[Dezembro]])</f>
        <v>0</v>
      </c>
    </row>
    <row r="170" spans="1:19" x14ac:dyDescent="0.25">
      <c r="A170" s="4"/>
      <c r="C17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>
        <f>SUM(tb_BaseDados[[#This Row],[Janeiro]:[Março]])</f>
        <v>0</v>
      </c>
      <c r="Q170" s="5">
        <f>SUM(tb_BaseDados[[#This Row],[Abril]:[Junho]])</f>
        <v>0</v>
      </c>
      <c r="R170" s="5">
        <f>SUM(tb_BaseDados[[#This Row],[Julho]:[Setembro]])</f>
        <v>0</v>
      </c>
      <c r="S170" s="5">
        <f>SUM(tb_BaseDados[[#This Row],[Outubro]:[Dezembro]])</f>
        <v>0</v>
      </c>
    </row>
    <row r="171" spans="1:19" x14ac:dyDescent="0.25">
      <c r="A171" s="4"/>
      <c r="C171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>
        <f>SUM(tb_BaseDados[[#This Row],[Janeiro]:[Março]])</f>
        <v>0</v>
      </c>
      <c r="Q171" s="5">
        <f>SUM(tb_BaseDados[[#This Row],[Abril]:[Junho]])</f>
        <v>0</v>
      </c>
      <c r="R171" s="5">
        <f>SUM(tb_BaseDados[[#This Row],[Julho]:[Setembro]])</f>
        <v>0</v>
      </c>
      <c r="S171" s="5">
        <f>SUM(tb_BaseDados[[#This Row],[Outubro]:[Dezembro]])</f>
        <v>0</v>
      </c>
    </row>
    <row r="172" spans="1:19" x14ac:dyDescent="0.25">
      <c r="A172" s="4"/>
      <c r="C172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>
        <f>SUM(tb_BaseDados[[#This Row],[Janeiro]:[Março]])</f>
        <v>0</v>
      </c>
      <c r="Q172" s="5">
        <f>SUM(tb_BaseDados[[#This Row],[Abril]:[Junho]])</f>
        <v>0</v>
      </c>
      <c r="R172" s="5">
        <f>SUM(tb_BaseDados[[#This Row],[Julho]:[Setembro]])</f>
        <v>0</v>
      </c>
      <c r="S172" s="5">
        <f>SUM(tb_BaseDados[[#This Row],[Outubro]:[Dezembro]])</f>
        <v>0</v>
      </c>
    </row>
    <row r="173" spans="1:19" x14ac:dyDescent="0.25">
      <c r="A173" s="4"/>
      <c r="C173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>
        <f>SUM(tb_BaseDados[[#This Row],[Janeiro]:[Março]])</f>
        <v>0</v>
      </c>
      <c r="Q173" s="5">
        <f>SUM(tb_BaseDados[[#This Row],[Abril]:[Junho]])</f>
        <v>0</v>
      </c>
      <c r="R173" s="5">
        <f>SUM(tb_BaseDados[[#This Row],[Julho]:[Setembro]])</f>
        <v>0</v>
      </c>
      <c r="S173" s="5">
        <f>SUM(tb_BaseDados[[#This Row],[Outubro]:[Dezembro]])</f>
        <v>0</v>
      </c>
    </row>
    <row r="174" spans="1:19" x14ac:dyDescent="0.25">
      <c r="A174" s="4"/>
      <c r="C174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>
        <f>SUM(tb_BaseDados[[#This Row],[Janeiro]:[Março]])</f>
        <v>0</v>
      </c>
      <c r="Q174" s="5">
        <f>SUM(tb_BaseDados[[#This Row],[Abril]:[Junho]])</f>
        <v>0</v>
      </c>
      <c r="R174" s="5">
        <f>SUM(tb_BaseDados[[#This Row],[Julho]:[Setembro]])</f>
        <v>0</v>
      </c>
      <c r="S174" s="5">
        <f>SUM(tb_BaseDados[[#This Row],[Outubro]:[Dezembro]])</f>
        <v>0</v>
      </c>
    </row>
    <row r="175" spans="1:19" x14ac:dyDescent="0.25">
      <c r="A175" s="4"/>
      <c r="C175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>
        <f>SUM(tb_BaseDados[[#This Row],[Janeiro]:[Março]])</f>
        <v>0</v>
      </c>
      <c r="Q175" s="5">
        <f>SUM(tb_BaseDados[[#This Row],[Abril]:[Junho]])</f>
        <v>0</v>
      </c>
      <c r="R175" s="5">
        <f>SUM(tb_BaseDados[[#This Row],[Julho]:[Setembro]])</f>
        <v>0</v>
      </c>
      <c r="S175" s="5">
        <f>SUM(tb_BaseDados[[#This Row],[Outubro]:[Dezembro]])</f>
        <v>0</v>
      </c>
    </row>
    <row r="176" spans="1:19" x14ac:dyDescent="0.25">
      <c r="A176" s="4"/>
      <c r="C176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>
        <f>SUM(tb_BaseDados[[#This Row],[Janeiro]:[Março]])</f>
        <v>0</v>
      </c>
      <c r="Q176" s="5">
        <f>SUM(tb_BaseDados[[#This Row],[Abril]:[Junho]])</f>
        <v>0</v>
      </c>
      <c r="R176" s="5">
        <f>SUM(tb_BaseDados[[#This Row],[Julho]:[Setembro]])</f>
        <v>0</v>
      </c>
      <c r="S176" s="5">
        <f>SUM(tb_BaseDados[[#This Row],[Outubro]:[Dezembro]])</f>
        <v>0</v>
      </c>
    </row>
    <row r="177" spans="1:19" x14ac:dyDescent="0.25">
      <c r="A177" s="4"/>
      <c r="C177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>
        <f>SUM(tb_BaseDados[[#This Row],[Janeiro]:[Março]])</f>
        <v>0</v>
      </c>
      <c r="Q177" s="5">
        <f>SUM(tb_BaseDados[[#This Row],[Abril]:[Junho]])</f>
        <v>0</v>
      </c>
      <c r="R177" s="5">
        <f>SUM(tb_BaseDados[[#This Row],[Julho]:[Setembro]])</f>
        <v>0</v>
      </c>
      <c r="S177" s="5">
        <f>SUM(tb_BaseDados[[#This Row],[Outubro]:[Dezembro]])</f>
        <v>0</v>
      </c>
    </row>
    <row r="178" spans="1:19" x14ac:dyDescent="0.25">
      <c r="A178" s="4"/>
      <c r="C178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>
        <f>SUM(tb_BaseDados[[#This Row],[Janeiro]:[Março]])</f>
        <v>0</v>
      </c>
      <c r="Q178" s="5">
        <f>SUM(tb_BaseDados[[#This Row],[Abril]:[Junho]])</f>
        <v>0</v>
      </c>
      <c r="R178" s="5">
        <f>SUM(tb_BaseDados[[#This Row],[Julho]:[Setembro]])</f>
        <v>0</v>
      </c>
      <c r="S178" s="5">
        <f>SUM(tb_BaseDados[[#This Row],[Outubro]:[Dezembro]])</f>
        <v>0</v>
      </c>
    </row>
    <row r="179" spans="1:19" x14ac:dyDescent="0.25">
      <c r="A179" s="4"/>
      <c r="C179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>
        <f>SUM(tb_BaseDados[[#This Row],[Janeiro]:[Março]])</f>
        <v>0</v>
      </c>
      <c r="Q179" s="5">
        <f>SUM(tb_BaseDados[[#This Row],[Abril]:[Junho]])</f>
        <v>0</v>
      </c>
      <c r="R179" s="5">
        <f>SUM(tb_BaseDados[[#This Row],[Julho]:[Setembro]])</f>
        <v>0</v>
      </c>
      <c r="S179" s="5">
        <f>SUM(tb_BaseDados[[#This Row],[Outubro]:[Dezembro]])</f>
        <v>0</v>
      </c>
    </row>
    <row r="180" spans="1:19" x14ac:dyDescent="0.25">
      <c r="A180" s="4"/>
      <c r="C18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>
        <f>SUM(tb_BaseDados[[#This Row],[Janeiro]:[Março]])</f>
        <v>0</v>
      </c>
      <c r="Q180" s="5">
        <f>SUM(tb_BaseDados[[#This Row],[Abril]:[Junho]])</f>
        <v>0</v>
      </c>
      <c r="R180" s="5">
        <f>SUM(tb_BaseDados[[#This Row],[Julho]:[Setembro]])</f>
        <v>0</v>
      </c>
      <c r="S180" s="5">
        <f>SUM(tb_BaseDados[[#This Row],[Outubro]:[Dezembro]])</f>
        <v>0</v>
      </c>
    </row>
    <row r="181" spans="1:19" x14ac:dyDescent="0.25">
      <c r="A181" s="4"/>
      <c r="C181" s="30" t="str">
        <f>IF(NOT(ISERROR(VLOOKUP(tb_BaseDados[[#This Row],[Conta Contábil]],tb_ClassConta[[Conta Contábil]:[Classificação]],3,FALSE))),VLOOKUP(tb_BaseDados[[#This Row],[Conta Contábil]],tb_ClassConta[[Conta Contábil]:[Classificação]],3,FALSE),"FAVOR CLASSIFICAR!!!")</f>
        <v>FAVOR CLASSIFICAR!!!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>
        <f>SUM(tb_BaseDados[[#This Row],[Janeiro]:[Março]])</f>
        <v>0</v>
      </c>
      <c r="Q181" s="5">
        <f>SUM(tb_BaseDados[[#This Row],[Abril]:[Junho]])</f>
        <v>0</v>
      </c>
      <c r="R181" s="5">
        <f>SUM(tb_BaseDados[[#This Row],[Julho]:[Setembro]])</f>
        <v>0</v>
      </c>
      <c r="S181" s="5">
        <f>SUM(tb_BaseDados[[#This Row],[Outubro]:[Dezembro]])</f>
        <v>0</v>
      </c>
    </row>
  </sheetData>
  <conditionalFormatting sqref="C2:C181">
    <cfRule type="containsText" dxfId="28" priority="1" operator="containsText" text="FAVOR CLASSIFICAR">
      <formula>NOT(ISERROR(SEARCH("FAVOR CLASSIFICAR",C2)))</formula>
    </cfRule>
    <cfRule type="containsText" dxfId="27" priority="2" operator="containsText" text="FAVOR CLASSIFICAR">
      <formula>NOT(ISERROR(SEARCH("FAVOR CLASSIFICAR",C2)))</formula>
    </cfRule>
    <cfRule type="containsText" dxfId="26" priority="3" operator="containsText" text="FAVOR CLASSIFICAR">
      <formula>NOT(ISERROR(SEARCH("FAVOR CLASSIFICAR",C2)))</formula>
    </cfRule>
    <cfRule type="containsText" dxfId="25" priority="4" operator="containsText" text="FAVOR CLASSIFICAR">
      <formula>NOT(ISERROR(SEARCH("FAVOR CLASSIFICAR",C2)))</formula>
    </cfRule>
    <cfRule type="containsText" dxfId="24" priority="5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BaseDadosAnt">
    <tabColor theme="3" tint="0.59999389629810485"/>
  </sheetPr>
  <dimension ref="A1:S247"/>
  <sheetViews>
    <sheetView showGridLines="0" workbookViewId="0">
      <selection activeCell="C2" sqref="C2:C247"/>
    </sheetView>
  </sheetViews>
  <sheetFormatPr defaultRowHeight="15" x14ac:dyDescent="0.25"/>
  <cols>
    <col min="1" max="1" width="17.5703125" customWidth="1"/>
    <col min="2" max="2" width="53" bestFit="1" customWidth="1"/>
    <col min="3" max="3" width="51.5703125" bestFit="1" customWidth="1"/>
    <col min="4" max="19" width="15.7109375" customWidth="1"/>
  </cols>
  <sheetData>
    <row r="1" spans="1:19" ht="45" customHeight="1" x14ac:dyDescent="0.25">
      <c r="A1" s="3" t="s">
        <v>186</v>
      </c>
      <c r="B1" s="3" t="s">
        <v>185</v>
      </c>
      <c r="C1" s="3" t="s">
        <v>196</v>
      </c>
      <c r="D1" s="3" t="s">
        <v>199</v>
      </c>
      <c r="E1" s="3" t="s">
        <v>200</v>
      </c>
      <c r="F1" s="3" t="s">
        <v>201</v>
      </c>
      <c r="G1" s="3" t="s">
        <v>202</v>
      </c>
      <c r="H1" s="3" t="s">
        <v>203</v>
      </c>
      <c r="I1" s="3" t="s">
        <v>204</v>
      </c>
      <c r="J1" s="3" t="s">
        <v>205</v>
      </c>
      <c r="K1" s="3" t="s">
        <v>206</v>
      </c>
      <c r="L1" s="3" t="s">
        <v>207</v>
      </c>
      <c r="M1" s="3" t="s">
        <v>208</v>
      </c>
      <c r="N1" s="3" t="s">
        <v>209</v>
      </c>
      <c r="O1" s="3" t="s">
        <v>210</v>
      </c>
      <c r="P1" s="3" t="s">
        <v>245</v>
      </c>
      <c r="Q1" s="3" t="s">
        <v>246</v>
      </c>
      <c r="R1" s="3" t="s">
        <v>247</v>
      </c>
      <c r="S1" s="3" t="s">
        <v>248</v>
      </c>
    </row>
    <row r="2" spans="1:19" x14ac:dyDescent="0.25">
      <c r="A2" s="4">
        <v>1311210100</v>
      </c>
      <c r="B2" t="s">
        <v>49</v>
      </c>
      <c r="C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" s="5">
        <v>73757.569174800345</v>
      </c>
      <c r="E2" s="5">
        <v>73760.978926353157</v>
      </c>
      <c r="F2" s="5">
        <v>73359.72410825199</v>
      </c>
      <c r="G2" s="5">
        <v>22.070425909494233</v>
      </c>
      <c r="H2" s="5"/>
      <c r="I2" s="5"/>
      <c r="J2" s="5"/>
      <c r="K2" s="5"/>
      <c r="L2" s="5"/>
      <c r="M2" s="5"/>
      <c r="N2" s="5"/>
      <c r="O2" s="5"/>
      <c r="P2" s="5">
        <f>SUM(tb_BaseDados_Anterior[[#This Row],[Janeiro]:[Março]])</f>
        <v>220878.27220940549</v>
      </c>
      <c r="Q2" s="5">
        <f>SUM(tb_BaseDados_Anterior[[#This Row],[Abril]:[Junho]])</f>
        <v>22.070425909494233</v>
      </c>
      <c r="R2" s="5">
        <f>SUM(tb_BaseDados_Anterior[[#This Row],[Julho]:[Setembro]])</f>
        <v>0</v>
      </c>
      <c r="S2" s="5">
        <f>SUM(tb_BaseDados_Anterior[[#This Row],[Outubro]:[Dezembro]])</f>
        <v>0</v>
      </c>
    </row>
    <row r="3" spans="1:19" x14ac:dyDescent="0.25">
      <c r="A3" s="4">
        <v>1311210300</v>
      </c>
      <c r="B3" t="s">
        <v>52</v>
      </c>
      <c r="C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" s="5">
        <v>3104.2464418811005</v>
      </c>
      <c r="E3" s="5">
        <v>2857.4273203194321</v>
      </c>
      <c r="F3" s="5">
        <v>2983.8142857142857</v>
      </c>
      <c r="G3" s="5">
        <v>0</v>
      </c>
      <c r="H3" s="5"/>
      <c r="I3" s="5"/>
      <c r="J3" s="5"/>
      <c r="K3" s="5"/>
      <c r="L3" s="5"/>
      <c r="M3" s="5"/>
      <c r="N3" s="5"/>
      <c r="O3" s="5"/>
      <c r="P3" s="5">
        <f>SUM(tb_BaseDados_Anterior[[#This Row],[Janeiro]:[Março]])</f>
        <v>8945.4880479148196</v>
      </c>
      <c r="Q3" s="5">
        <f>SUM(tb_BaseDados_Anterior[[#This Row],[Abril]:[Junho]])</f>
        <v>0</v>
      </c>
      <c r="R3" s="5">
        <f>SUM(tb_BaseDados_Anterior[[#This Row],[Julho]:[Setembro]])</f>
        <v>0</v>
      </c>
      <c r="S3" s="5">
        <f>SUM(tb_BaseDados_Anterior[[#This Row],[Outubro]:[Dezembro]])</f>
        <v>0</v>
      </c>
    </row>
    <row r="4" spans="1:19" x14ac:dyDescent="0.25">
      <c r="A4" s="4">
        <v>1311210400</v>
      </c>
      <c r="B4" t="s">
        <v>53</v>
      </c>
      <c r="C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" s="5">
        <v>32506.899707187222</v>
      </c>
      <c r="E4" s="5">
        <v>32533.767808340726</v>
      </c>
      <c r="F4" s="5">
        <v>32403.082236024846</v>
      </c>
      <c r="G4" s="5">
        <v>0</v>
      </c>
      <c r="H4" s="5"/>
      <c r="I4" s="5"/>
      <c r="J4" s="5"/>
      <c r="K4" s="5"/>
      <c r="L4" s="5"/>
      <c r="M4" s="5"/>
      <c r="N4" s="5"/>
      <c r="O4" s="5"/>
      <c r="P4" s="5">
        <f>SUM(tb_BaseDados_Anterior[[#This Row],[Janeiro]:[Março]])</f>
        <v>97443.749751552794</v>
      </c>
      <c r="Q4" s="5">
        <f>SUM(tb_BaseDados_Anterior[[#This Row],[Abril]:[Junho]])</f>
        <v>0</v>
      </c>
      <c r="R4" s="5">
        <f>SUM(tb_BaseDados_Anterior[[#This Row],[Julho]:[Setembro]])</f>
        <v>0</v>
      </c>
      <c r="S4" s="5">
        <f>SUM(tb_BaseDados_Anterior[[#This Row],[Outubro]:[Dezembro]])</f>
        <v>0</v>
      </c>
    </row>
    <row r="5" spans="1:19" x14ac:dyDescent="0.25">
      <c r="A5" s="4">
        <v>1311210500</v>
      </c>
      <c r="B5" t="s">
        <v>54</v>
      </c>
      <c r="C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" s="5">
        <v>12581.51314108252</v>
      </c>
      <c r="E5" s="5">
        <v>12518.543629103815</v>
      </c>
      <c r="F5" s="5">
        <v>12523.951295474712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>
        <f>SUM(tb_BaseDados_Anterior[[#This Row],[Janeiro]:[Março]])</f>
        <v>37624.008065661044</v>
      </c>
      <c r="Q5" s="5">
        <f>SUM(tb_BaseDados_Anterior[[#This Row],[Abril]:[Junho]])</f>
        <v>0</v>
      </c>
      <c r="R5" s="5">
        <f>SUM(tb_BaseDados_Anterior[[#This Row],[Julho]:[Setembro]])</f>
        <v>0</v>
      </c>
      <c r="S5" s="5">
        <f>SUM(tb_BaseDados_Anterior[[#This Row],[Outubro]:[Dezembro]])</f>
        <v>0</v>
      </c>
    </row>
    <row r="6" spans="1:19" x14ac:dyDescent="0.25">
      <c r="A6" s="4">
        <v>1311210600</v>
      </c>
      <c r="B6" t="s">
        <v>55</v>
      </c>
      <c r="C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" s="5">
        <v>9432.7458740017737</v>
      </c>
      <c r="E6" s="5">
        <v>9388.9077196095823</v>
      </c>
      <c r="F6" s="5">
        <v>9396.5923425022193</v>
      </c>
      <c r="G6" s="5">
        <v>0</v>
      </c>
      <c r="H6" s="5"/>
      <c r="I6" s="5"/>
      <c r="J6" s="5"/>
      <c r="K6" s="5"/>
      <c r="L6" s="5"/>
      <c r="M6" s="5"/>
      <c r="N6" s="5"/>
      <c r="O6" s="5"/>
      <c r="P6" s="5">
        <f>SUM(tb_BaseDados_Anterior[[#This Row],[Janeiro]:[Março]])</f>
        <v>28218.245936113577</v>
      </c>
      <c r="Q6" s="5">
        <f>SUM(tb_BaseDados_Anterior[[#This Row],[Abril]:[Junho]])</f>
        <v>0</v>
      </c>
      <c r="R6" s="5">
        <f>SUM(tb_BaseDados_Anterior[[#This Row],[Julho]:[Setembro]])</f>
        <v>0</v>
      </c>
      <c r="S6" s="5">
        <f>SUM(tb_BaseDados_Anterior[[#This Row],[Outubro]:[Dezembro]])</f>
        <v>0</v>
      </c>
    </row>
    <row r="7" spans="1:19" x14ac:dyDescent="0.25">
      <c r="A7" s="4">
        <v>1311210700</v>
      </c>
      <c r="B7" t="s">
        <v>56</v>
      </c>
      <c r="C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" s="5">
        <v>1079.3802129547471</v>
      </c>
      <c r="E7" s="5">
        <v>950.31896184560776</v>
      </c>
      <c r="F7" s="5">
        <v>1622.7753504880213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>
        <f>SUM(tb_BaseDados_Anterior[[#This Row],[Janeiro]:[Março]])</f>
        <v>3652.4745252883758</v>
      </c>
      <c r="Q7" s="5">
        <f>SUM(tb_BaseDados_Anterior[[#This Row],[Abril]:[Junho]])</f>
        <v>0</v>
      </c>
      <c r="R7" s="5">
        <f>SUM(tb_BaseDados_Anterior[[#This Row],[Julho]:[Setembro]])</f>
        <v>0</v>
      </c>
      <c r="S7" s="5">
        <f>SUM(tb_BaseDados_Anterior[[#This Row],[Outubro]:[Dezembro]])</f>
        <v>0</v>
      </c>
    </row>
    <row r="8" spans="1:19" x14ac:dyDescent="0.25">
      <c r="A8" s="4">
        <v>1312510100</v>
      </c>
      <c r="B8" t="s">
        <v>184</v>
      </c>
      <c r="C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" s="5">
        <v>7939.8236202307016</v>
      </c>
      <c r="E8" s="5">
        <v>7986.2291925465843</v>
      </c>
      <c r="F8" s="5">
        <v>7915.9892014196985</v>
      </c>
      <c r="G8" s="5">
        <v>0.41409050576752443</v>
      </c>
      <c r="H8" s="5"/>
      <c r="I8" s="5"/>
      <c r="J8" s="5"/>
      <c r="K8" s="5"/>
      <c r="L8" s="5"/>
      <c r="M8" s="5"/>
      <c r="N8" s="5"/>
      <c r="O8" s="5"/>
      <c r="P8" s="5">
        <f>SUM(tb_BaseDados_Anterior[[#This Row],[Janeiro]:[Março]])</f>
        <v>23842.042014196984</v>
      </c>
      <c r="Q8" s="5">
        <f>SUM(tb_BaseDados_Anterior[[#This Row],[Abril]:[Junho]])</f>
        <v>0.41409050576752443</v>
      </c>
      <c r="R8" s="5">
        <f>SUM(tb_BaseDados_Anterior[[#This Row],[Julho]:[Setembro]])</f>
        <v>0</v>
      </c>
      <c r="S8" s="5">
        <f>SUM(tb_BaseDados_Anterior[[#This Row],[Outubro]:[Dezembro]])</f>
        <v>0</v>
      </c>
    </row>
    <row r="9" spans="1:19" x14ac:dyDescent="0.25">
      <c r="A9" s="4">
        <v>1313210600</v>
      </c>
      <c r="B9" t="s">
        <v>63</v>
      </c>
      <c r="C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" s="5">
        <v>801.05137533274183</v>
      </c>
      <c r="E9" s="5">
        <v>755.47528837622008</v>
      </c>
      <c r="F9" s="5">
        <v>746.50496894409935</v>
      </c>
      <c r="G9" s="5">
        <v>0</v>
      </c>
      <c r="H9" s="5"/>
      <c r="I9" s="5"/>
      <c r="J9" s="5"/>
      <c r="K9" s="5"/>
      <c r="L9" s="5"/>
      <c r="M9" s="5"/>
      <c r="N9" s="5"/>
      <c r="O9" s="5"/>
      <c r="P9" s="5">
        <f>SUM(tb_BaseDados_Anterior[[#This Row],[Janeiro]:[Março]])</f>
        <v>2303.031632653061</v>
      </c>
      <c r="Q9" s="5">
        <f>SUM(tb_BaseDados_Anterior[[#This Row],[Abril]:[Junho]])</f>
        <v>0</v>
      </c>
      <c r="R9" s="5">
        <f>SUM(tb_BaseDados_Anterior[[#This Row],[Julho]:[Setembro]])</f>
        <v>0</v>
      </c>
      <c r="S9" s="5">
        <f>SUM(tb_BaseDados_Anterior[[#This Row],[Outubro]:[Dezembro]])</f>
        <v>0</v>
      </c>
    </row>
    <row r="10" spans="1:19" x14ac:dyDescent="0.25">
      <c r="A10" s="4">
        <v>1331110300</v>
      </c>
      <c r="B10" t="s">
        <v>67</v>
      </c>
      <c r="C1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" s="5">
        <v>198.37871339840285</v>
      </c>
      <c r="E10" s="5">
        <v>273.65033717834962</v>
      </c>
      <c r="F10" s="5">
        <v>334.93768411712512</v>
      </c>
      <c r="G10" s="5">
        <v>75.341614906832305</v>
      </c>
      <c r="H10" s="5"/>
      <c r="I10" s="5"/>
      <c r="J10" s="5"/>
      <c r="K10" s="5"/>
      <c r="L10" s="5"/>
      <c r="M10" s="5"/>
      <c r="N10" s="5"/>
      <c r="O10" s="5"/>
      <c r="P10" s="5">
        <f>SUM(tb_BaseDados_Anterior[[#This Row],[Janeiro]:[Março]])</f>
        <v>806.96673469387758</v>
      </c>
      <c r="Q10" s="5">
        <f>SUM(tb_BaseDados_Anterior[[#This Row],[Abril]:[Junho]])</f>
        <v>75.341614906832305</v>
      </c>
      <c r="R10" s="5">
        <f>SUM(tb_BaseDados_Anterior[[#This Row],[Julho]:[Setembro]])</f>
        <v>0</v>
      </c>
      <c r="S10" s="5">
        <f>SUM(tb_BaseDados_Anterior[[#This Row],[Outubro]:[Dezembro]])</f>
        <v>0</v>
      </c>
    </row>
    <row r="11" spans="1:19" x14ac:dyDescent="0.25">
      <c r="A11" s="4">
        <v>1331110500</v>
      </c>
      <c r="B11" t="s">
        <v>69</v>
      </c>
      <c r="C1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" s="5">
        <v>40.333682342502215</v>
      </c>
      <c r="E11" s="5">
        <v>55.356273291925461</v>
      </c>
      <c r="F11" s="5">
        <v>90.161118012422364</v>
      </c>
      <c r="G11" s="5">
        <v>0.33123336291038158</v>
      </c>
      <c r="H11" s="5"/>
      <c r="I11" s="5"/>
      <c r="J11" s="5"/>
      <c r="K11" s="5"/>
      <c r="L11" s="5"/>
      <c r="M11" s="5"/>
      <c r="N11" s="5"/>
      <c r="O11" s="5"/>
      <c r="P11" s="5">
        <f>SUM(tb_BaseDados_Anterior[[#This Row],[Janeiro]:[Março]])</f>
        <v>185.85107364685004</v>
      </c>
      <c r="Q11" s="5">
        <f>SUM(tb_BaseDados_Anterior[[#This Row],[Abril]:[Junho]])</f>
        <v>0.33123336291038158</v>
      </c>
      <c r="R11" s="5">
        <f>SUM(tb_BaseDados_Anterior[[#This Row],[Julho]:[Setembro]])</f>
        <v>0</v>
      </c>
      <c r="S11" s="5">
        <f>SUM(tb_BaseDados_Anterior[[#This Row],[Outubro]:[Dezembro]])</f>
        <v>0</v>
      </c>
    </row>
    <row r="12" spans="1:19" x14ac:dyDescent="0.25">
      <c r="A12" s="4">
        <v>1332310800</v>
      </c>
      <c r="B12" t="s">
        <v>92</v>
      </c>
      <c r="C1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" s="5">
        <v>1885.6690417036377</v>
      </c>
      <c r="E12" s="5">
        <v>1975.3651996450756</v>
      </c>
      <c r="F12" s="5">
        <v>1924.4630434782609</v>
      </c>
      <c r="G12" s="5">
        <v>473.70985803016862</v>
      </c>
      <c r="H12" s="5"/>
      <c r="I12" s="5"/>
      <c r="J12" s="5"/>
      <c r="K12" s="5"/>
      <c r="L12" s="5"/>
      <c r="M12" s="5"/>
      <c r="N12" s="5"/>
      <c r="O12" s="5"/>
      <c r="P12" s="5">
        <f>SUM(tb_BaseDados_Anterior[[#This Row],[Janeiro]:[Março]])</f>
        <v>5785.4972848269745</v>
      </c>
      <c r="Q12" s="5">
        <f>SUM(tb_BaseDados_Anterior[[#This Row],[Abril]:[Junho]])</f>
        <v>473.70985803016862</v>
      </c>
      <c r="R12" s="5">
        <f>SUM(tb_BaseDados_Anterior[[#This Row],[Julho]:[Setembro]])</f>
        <v>0</v>
      </c>
      <c r="S12" s="5">
        <f>SUM(tb_BaseDados_Anterior[[#This Row],[Outubro]:[Dezembro]])</f>
        <v>0</v>
      </c>
    </row>
    <row r="13" spans="1:19" x14ac:dyDescent="0.25">
      <c r="A13" s="4">
        <v>1332320900</v>
      </c>
      <c r="B13" t="s">
        <v>106</v>
      </c>
      <c r="C1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" s="5">
        <v>56.138553682342504</v>
      </c>
      <c r="E13" s="5">
        <v>-30.731224489795917</v>
      </c>
      <c r="F13" s="5">
        <v>26.169884649511978</v>
      </c>
      <c r="G13" s="5">
        <v>0</v>
      </c>
      <c r="H13" s="5"/>
      <c r="I13" s="5"/>
      <c r="J13" s="5"/>
      <c r="K13" s="5"/>
      <c r="L13" s="5"/>
      <c r="M13" s="5"/>
      <c r="N13" s="5"/>
      <c r="O13" s="5"/>
      <c r="P13" s="5">
        <f>SUM(tb_BaseDados_Anterior[[#This Row],[Janeiro]:[Março]])</f>
        <v>51.577213842058569</v>
      </c>
      <c r="Q13" s="5">
        <f>SUM(tb_BaseDados_Anterior[[#This Row],[Abril]:[Junho]])</f>
        <v>0</v>
      </c>
      <c r="R13" s="5">
        <f>SUM(tb_BaseDados_Anterior[[#This Row],[Julho]:[Setembro]])</f>
        <v>0</v>
      </c>
      <c r="S13" s="5">
        <f>SUM(tb_BaseDados_Anterior[[#This Row],[Outubro]:[Dezembro]])</f>
        <v>0</v>
      </c>
    </row>
    <row r="14" spans="1:19" x14ac:dyDescent="0.25">
      <c r="A14" s="4">
        <v>1332340300</v>
      </c>
      <c r="B14" t="s">
        <v>111</v>
      </c>
      <c r="C1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" s="5">
        <v>0.742661934338953</v>
      </c>
      <c r="E14" s="5">
        <v>0.54677018633540375</v>
      </c>
      <c r="F14" s="5">
        <v>5.7309760425909495</v>
      </c>
      <c r="G14" s="5">
        <v>0</v>
      </c>
      <c r="H14" s="5"/>
      <c r="I14" s="5"/>
      <c r="J14" s="5"/>
      <c r="K14" s="5"/>
      <c r="L14" s="5"/>
      <c r="M14" s="5"/>
      <c r="N14" s="5"/>
      <c r="O14" s="5"/>
      <c r="P14" s="5">
        <f>SUM(tb_BaseDados_Anterior[[#This Row],[Janeiro]:[Março]])</f>
        <v>7.0204081632653068</v>
      </c>
      <c r="Q14" s="5">
        <f>SUM(tb_BaseDados_Anterior[[#This Row],[Abril]:[Junho]])</f>
        <v>0</v>
      </c>
      <c r="R14" s="5">
        <f>SUM(tb_BaseDados_Anterior[[#This Row],[Julho]:[Setembro]])</f>
        <v>0</v>
      </c>
      <c r="S14" s="5">
        <f>SUM(tb_BaseDados_Anterior[[#This Row],[Outubro]:[Dezembro]])</f>
        <v>0</v>
      </c>
    </row>
    <row r="15" spans="1:19" x14ac:dyDescent="0.25">
      <c r="A15" s="4">
        <v>1342310100</v>
      </c>
      <c r="B15" t="s">
        <v>151</v>
      </c>
      <c r="C1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" s="5">
        <v>5.6051464063886426E-2</v>
      </c>
      <c r="E15" s="5">
        <v>2.3735581188997337E-2</v>
      </c>
      <c r="F15" s="5">
        <v>0.44213842058562558</v>
      </c>
      <c r="G15" s="5">
        <v>8.1366459627329191E-3</v>
      </c>
      <c r="H15" s="5"/>
      <c r="I15" s="5"/>
      <c r="J15" s="5"/>
      <c r="K15" s="5"/>
      <c r="L15" s="5"/>
      <c r="M15" s="5"/>
      <c r="N15" s="5"/>
      <c r="O15" s="5"/>
      <c r="P15" s="5">
        <f>SUM(tb_BaseDados_Anterior[[#This Row],[Janeiro]:[Março]])</f>
        <v>0.52192546583850929</v>
      </c>
      <c r="Q15" s="5">
        <f>SUM(tb_BaseDados_Anterior[[#This Row],[Abril]:[Junho]])</f>
        <v>8.1366459627329191E-3</v>
      </c>
      <c r="R15" s="5">
        <f>SUM(tb_BaseDados_Anterior[[#This Row],[Julho]:[Setembro]])</f>
        <v>0</v>
      </c>
      <c r="S15" s="5">
        <f>SUM(tb_BaseDados_Anterior[[#This Row],[Outubro]:[Dezembro]])</f>
        <v>0</v>
      </c>
    </row>
    <row r="16" spans="1:19" x14ac:dyDescent="0.25">
      <c r="A16" s="4">
        <v>1365020100</v>
      </c>
      <c r="B16" t="s">
        <v>180</v>
      </c>
      <c r="C1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" s="5">
        <v>2411.9201330967171</v>
      </c>
      <c r="E16" s="5">
        <v>9928.8776574977801</v>
      </c>
      <c r="F16" s="5">
        <v>2354.3277196095828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5">
        <f>SUM(tb_BaseDados_Anterior[[#This Row],[Janeiro]:[Março]])</f>
        <v>14695.12551020408</v>
      </c>
      <c r="Q16" s="5">
        <f>SUM(tb_BaseDados_Anterior[[#This Row],[Abril]:[Junho]])</f>
        <v>0</v>
      </c>
      <c r="R16" s="5">
        <f>SUM(tb_BaseDados_Anterior[[#This Row],[Julho]:[Setembro]])</f>
        <v>0</v>
      </c>
      <c r="S16" s="5">
        <f>SUM(tb_BaseDados_Anterior[[#This Row],[Outubro]:[Dezembro]])</f>
        <v>0</v>
      </c>
    </row>
    <row r="17" spans="1:19" x14ac:dyDescent="0.25">
      <c r="A17" s="4">
        <v>1371110800</v>
      </c>
      <c r="B17" t="s">
        <v>135</v>
      </c>
      <c r="C1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" s="5">
        <v>8.5164241348713396</v>
      </c>
      <c r="E17" s="5">
        <v>1.4242236024844719</v>
      </c>
      <c r="F17" s="5">
        <v>-9.8040195208518188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5">
        <f>SUM(tb_BaseDados_Anterior[[#This Row],[Janeiro]:[Março]])</f>
        <v>0.13662821650399337</v>
      </c>
      <c r="Q17" s="5">
        <f>SUM(tb_BaseDados_Anterior[[#This Row],[Abril]:[Junho]])</f>
        <v>0</v>
      </c>
      <c r="R17" s="5">
        <f>SUM(tb_BaseDados_Anterior[[#This Row],[Julho]:[Setembro]])</f>
        <v>0</v>
      </c>
      <c r="S17" s="5">
        <f>SUM(tb_BaseDados_Anterior[[#This Row],[Outubro]:[Dezembro]])</f>
        <v>0</v>
      </c>
    </row>
    <row r="18" spans="1:19" x14ac:dyDescent="0.25">
      <c r="A18" s="4">
        <v>1371129900</v>
      </c>
      <c r="B18" t="s">
        <v>136</v>
      </c>
      <c r="C1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" s="5">
        <v>1.379396628216504</v>
      </c>
      <c r="E18" s="5">
        <v>0</v>
      </c>
      <c r="F18" s="5">
        <v>-1.379396628216504</v>
      </c>
      <c r="G18" s="5">
        <v>0</v>
      </c>
      <c r="H18" s="5"/>
      <c r="I18" s="5"/>
      <c r="J18" s="5"/>
      <c r="K18" s="5"/>
      <c r="L18" s="5"/>
      <c r="M18" s="5"/>
      <c r="N18" s="5"/>
      <c r="O18" s="5"/>
      <c r="P18" s="5">
        <f>SUM(tb_BaseDados_Anterior[[#This Row],[Janeiro]:[Março]])</f>
        <v>0</v>
      </c>
      <c r="Q18" s="5">
        <f>SUM(tb_BaseDados_Anterior[[#This Row],[Abril]:[Junho]])</f>
        <v>0</v>
      </c>
      <c r="R18" s="5">
        <f>SUM(tb_BaseDados_Anterior[[#This Row],[Julho]:[Setembro]])</f>
        <v>0</v>
      </c>
      <c r="S18" s="5">
        <f>SUM(tb_BaseDados_Anterior[[#This Row],[Outubro]:[Dezembro]])</f>
        <v>0</v>
      </c>
    </row>
    <row r="19" spans="1:19" x14ac:dyDescent="0.25">
      <c r="A19" s="4">
        <v>1371220100</v>
      </c>
      <c r="B19" t="s">
        <v>140</v>
      </c>
      <c r="C1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" s="5">
        <v>2.2750842945874004</v>
      </c>
      <c r="E19" s="5">
        <v>9.0002484472049691</v>
      </c>
      <c r="F19" s="5">
        <v>12.166246672582076</v>
      </c>
      <c r="G19" s="5">
        <v>8.6183762200532392</v>
      </c>
      <c r="H19" s="5"/>
      <c r="I19" s="5"/>
      <c r="J19" s="5"/>
      <c r="K19" s="5"/>
      <c r="L19" s="5"/>
      <c r="M19" s="5"/>
      <c r="N19" s="5"/>
      <c r="O19" s="5"/>
      <c r="P19" s="5">
        <f>SUM(tb_BaseDados_Anterior[[#This Row],[Janeiro]:[Março]])</f>
        <v>23.441579414374445</v>
      </c>
      <c r="Q19" s="5">
        <f>SUM(tb_BaseDados_Anterior[[#This Row],[Abril]:[Junho]])</f>
        <v>8.6183762200532392</v>
      </c>
      <c r="R19" s="5">
        <f>SUM(tb_BaseDados_Anterior[[#This Row],[Julho]:[Setembro]])</f>
        <v>0</v>
      </c>
      <c r="S19" s="5">
        <f>SUM(tb_BaseDados_Anterior[[#This Row],[Outubro]:[Dezembro]])</f>
        <v>0</v>
      </c>
    </row>
    <row r="20" spans="1:19" ht="14.25" customHeight="1" x14ac:dyDescent="0.25">
      <c r="A20" s="4">
        <v>1372110600</v>
      </c>
      <c r="B20" t="s">
        <v>143</v>
      </c>
      <c r="C2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" s="5">
        <v>9.6038243123336287</v>
      </c>
      <c r="E20" s="5">
        <v>0.34485359361135759</v>
      </c>
      <c r="F20" s="5">
        <v>0</v>
      </c>
      <c r="G20" s="5">
        <v>0</v>
      </c>
      <c r="H20" s="5"/>
      <c r="I20" s="5"/>
      <c r="J20" s="5"/>
      <c r="K20" s="5"/>
      <c r="L20" s="5"/>
      <c r="M20" s="5"/>
      <c r="N20" s="5"/>
      <c r="O20" s="5"/>
      <c r="P20" s="5">
        <f>SUM(tb_BaseDados_Anterior[[#This Row],[Janeiro]:[Março]])</f>
        <v>9.9486779059449866</v>
      </c>
      <c r="Q20" s="5">
        <f>SUM(tb_BaseDados_Anterior[[#This Row],[Abril]:[Junho]])</f>
        <v>0</v>
      </c>
      <c r="R20" s="5">
        <f>SUM(tb_BaseDados_Anterior[[#This Row],[Julho]:[Setembro]])</f>
        <v>0</v>
      </c>
      <c r="S20" s="5">
        <f>SUM(tb_BaseDados_Anterior[[#This Row],[Outubro]:[Dezembro]])</f>
        <v>0</v>
      </c>
    </row>
    <row r="21" spans="1:19" x14ac:dyDescent="0.25">
      <c r="A21" s="4">
        <v>1372120500</v>
      </c>
      <c r="B21" t="s">
        <v>142</v>
      </c>
      <c r="C2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" s="5">
        <v>0.41219165927240464</v>
      </c>
      <c r="E21" s="5">
        <v>0.41219165927240464</v>
      </c>
      <c r="F21" s="5">
        <v>0.41219165927240464</v>
      </c>
      <c r="G21" s="5">
        <v>0.41219165927240464</v>
      </c>
      <c r="H21" s="5"/>
      <c r="I21" s="5"/>
      <c r="J21" s="5"/>
      <c r="K21" s="5"/>
      <c r="L21" s="5"/>
      <c r="M21" s="5"/>
      <c r="N21" s="5"/>
      <c r="O21" s="5"/>
      <c r="P21" s="5">
        <f>SUM(tb_BaseDados_Anterior[[#This Row],[Janeiro]:[Março]])</f>
        <v>1.2365749778172139</v>
      </c>
      <c r="Q21" s="5">
        <f>SUM(tb_BaseDados_Anterior[[#This Row],[Abril]:[Junho]])</f>
        <v>0.41219165927240464</v>
      </c>
      <c r="R21" s="5">
        <f>SUM(tb_BaseDados_Anterior[[#This Row],[Julho]:[Setembro]])</f>
        <v>0</v>
      </c>
      <c r="S21" s="5">
        <f>SUM(tb_BaseDados_Anterior[[#This Row],[Outubro]:[Dezembro]])</f>
        <v>0</v>
      </c>
    </row>
    <row r="22" spans="1:19" x14ac:dyDescent="0.25">
      <c r="A22" s="4">
        <v>1372350100</v>
      </c>
      <c r="B22" t="s">
        <v>147</v>
      </c>
      <c r="C2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" s="5">
        <v>1.2373291925465839</v>
      </c>
      <c r="E22" s="5">
        <v>0.78895297249334517</v>
      </c>
      <c r="F22" s="5">
        <v>1.0948092280390416</v>
      </c>
      <c r="G22" s="5">
        <v>7.6858917480035496E-2</v>
      </c>
      <c r="H22" s="5"/>
      <c r="I22" s="5"/>
      <c r="J22" s="5"/>
      <c r="K22" s="5"/>
      <c r="L22" s="5"/>
      <c r="M22" s="5"/>
      <c r="N22" s="5"/>
      <c r="O22" s="5"/>
      <c r="P22" s="5">
        <f>SUM(tb_BaseDados_Anterior[[#This Row],[Janeiro]:[Março]])</f>
        <v>3.1210913930789705</v>
      </c>
      <c r="Q22" s="5">
        <f>SUM(tb_BaseDados_Anterior[[#This Row],[Abril]:[Junho]])</f>
        <v>7.6858917480035496E-2</v>
      </c>
      <c r="R22" s="5">
        <f>SUM(tb_BaseDados_Anterior[[#This Row],[Julho]:[Setembro]])</f>
        <v>0</v>
      </c>
      <c r="S22" s="5">
        <f>SUM(tb_BaseDados_Anterior[[#This Row],[Outubro]:[Dezembro]])</f>
        <v>0</v>
      </c>
    </row>
    <row r="23" spans="1:19" x14ac:dyDescent="0.25">
      <c r="A23" s="4">
        <v>1394110100</v>
      </c>
      <c r="B23" t="s">
        <v>124</v>
      </c>
      <c r="C2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" s="5">
        <v>231.37012422360249</v>
      </c>
      <c r="E23" s="5">
        <v>177.49843833185446</v>
      </c>
      <c r="F23" s="5">
        <v>30.650425909494231</v>
      </c>
      <c r="G23" s="5">
        <v>86.388322981366457</v>
      </c>
      <c r="H23" s="5"/>
      <c r="I23" s="5"/>
      <c r="J23" s="5"/>
      <c r="K23" s="5"/>
      <c r="L23" s="5"/>
      <c r="M23" s="5"/>
      <c r="N23" s="5"/>
      <c r="O23" s="5"/>
      <c r="P23" s="5">
        <f>SUM(tb_BaseDados_Anterior[[#This Row],[Janeiro]:[Março]])</f>
        <v>439.51898846495118</v>
      </c>
      <c r="Q23" s="5">
        <f>SUM(tb_BaseDados_Anterior[[#This Row],[Abril]:[Junho]])</f>
        <v>86.388322981366457</v>
      </c>
      <c r="R23" s="5">
        <f>SUM(tb_BaseDados_Anterior[[#This Row],[Julho]:[Setembro]])</f>
        <v>0</v>
      </c>
      <c r="S23" s="5">
        <f>SUM(tb_BaseDados_Anterior[[#This Row],[Outubro]:[Dezembro]])</f>
        <v>0</v>
      </c>
    </row>
    <row r="24" spans="1:19" x14ac:dyDescent="0.25">
      <c r="A24" s="4">
        <v>1431111200</v>
      </c>
      <c r="B24" t="s">
        <v>2</v>
      </c>
      <c r="C2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" s="5">
        <v>140.17913930789709</v>
      </c>
      <c r="E24" s="5">
        <v>195.34102928127771</v>
      </c>
      <c r="F24" s="5">
        <v>65.744596273291933</v>
      </c>
      <c r="G24" s="5">
        <v>1.0652528837622004</v>
      </c>
      <c r="H24" s="5"/>
      <c r="I24" s="5"/>
      <c r="J24" s="5"/>
      <c r="K24" s="5"/>
      <c r="L24" s="5"/>
      <c r="M24" s="5"/>
      <c r="N24" s="5"/>
      <c r="O24" s="5"/>
      <c r="P24" s="5">
        <f>SUM(tb_BaseDados_Anterior[[#This Row],[Janeiro]:[Março]])</f>
        <v>401.26476486246668</v>
      </c>
      <c r="Q24" s="5">
        <f>SUM(tb_BaseDados_Anterior[[#This Row],[Abril]:[Junho]])</f>
        <v>1.0652528837622004</v>
      </c>
      <c r="R24" s="5">
        <f>SUM(tb_BaseDados_Anterior[[#This Row],[Julho]:[Setembro]])</f>
        <v>0</v>
      </c>
      <c r="S24" s="5">
        <f>SUM(tb_BaseDados_Anterior[[#This Row],[Outubro]:[Dezembro]])</f>
        <v>0</v>
      </c>
    </row>
    <row r="25" spans="1:19" x14ac:dyDescent="0.25">
      <c r="A25" s="4">
        <v>1433110100</v>
      </c>
      <c r="B25" t="s">
        <v>6</v>
      </c>
      <c r="C2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5" s="5">
        <v>252.21303460514642</v>
      </c>
      <c r="E25" s="5">
        <v>899.42702750665489</v>
      </c>
      <c r="F25" s="5">
        <v>2683.0673203194324</v>
      </c>
      <c r="G25" s="5">
        <v>59.026654835847374</v>
      </c>
      <c r="H25" s="5"/>
      <c r="I25" s="5"/>
      <c r="J25" s="5"/>
      <c r="K25" s="5"/>
      <c r="L25" s="5"/>
      <c r="M25" s="5"/>
      <c r="N25" s="5"/>
      <c r="O25" s="5"/>
      <c r="P25" s="5">
        <f>SUM(tb_BaseDados_Anterior[[#This Row],[Janeiro]:[Março]])</f>
        <v>3834.7073824312338</v>
      </c>
      <c r="Q25" s="5">
        <f>SUM(tb_BaseDados_Anterior[[#This Row],[Abril]:[Junho]])</f>
        <v>59.026654835847374</v>
      </c>
      <c r="R25" s="5">
        <f>SUM(tb_BaseDados_Anterior[[#This Row],[Julho]:[Setembro]])</f>
        <v>0</v>
      </c>
      <c r="S25" s="5">
        <f>SUM(tb_BaseDados_Anterior[[#This Row],[Outubro]:[Dezembro]])</f>
        <v>0</v>
      </c>
    </row>
    <row r="26" spans="1:19" x14ac:dyDescent="0.25">
      <c r="A26" s="4">
        <v>1433910900</v>
      </c>
      <c r="B26" t="s">
        <v>11</v>
      </c>
      <c r="C2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6" s="5">
        <v>-126.16891748003549</v>
      </c>
      <c r="E26" s="5">
        <v>-121.68896184560781</v>
      </c>
      <c r="F26" s="5">
        <v>-169.22364685004436</v>
      </c>
      <c r="G26" s="5">
        <v>0</v>
      </c>
      <c r="H26" s="5"/>
      <c r="I26" s="5"/>
      <c r="J26" s="5"/>
      <c r="K26" s="5"/>
      <c r="L26" s="5"/>
      <c r="M26" s="5"/>
      <c r="N26" s="5"/>
      <c r="O26" s="5"/>
      <c r="P26" s="5">
        <f>SUM(tb_BaseDados_Anterior[[#This Row],[Janeiro]:[Março]])</f>
        <v>-417.08152617568766</v>
      </c>
      <c r="Q26" s="5">
        <f>SUM(tb_BaseDados_Anterior[[#This Row],[Abril]:[Junho]])</f>
        <v>0</v>
      </c>
      <c r="R26" s="5">
        <f>SUM(tb_BaseDados_Anterior[[#This Row],[Julho]:[Setembro]])</f>
        <v>0</v>
      </c>
      <c r="S26" s="5">
        <f>SUM(tb_BaseDados_Anterior[[#This Row],[Outubro]:[Dezembro]])</f>
        <v>0</v>
      </c>
    </row>
    <row r="27" spans="1:19" x14ac:dyDescent="0.25">
      <c r="A27" s="4">
        <v>1451120200</v>
      </c>
      <c r="B27" t="s">
        <v>14</v>
      </c>
      <c r="C2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7" s="5">
        <v>171074.77984915703</v>
      </c>
      <c r="E27" s="5">
        <v>171756.35263531498</v>
      </c>
      <c r="F27" s="5">
        <v>182955.55076308784</v>
      </c>
      <c r="G27" s="5">
        <v>51480.808535936114</v>
      </c>
      <c r="H27" s="5"/>
      <c r="I27" s="5"/>
      <c r="J27" s="5"/>
      <c r="K27" s="5"/>
      <c r="L27" s="5"/>
      <c r="M27" s="5"/>
      <c r="N27" s="5"/>
      <c r="O27" s="5"/>
      <c r="P27" s="5">
        <f>SUM(tb_BaseDados_Anterior[[#This Row],[Janeiro]:[Março]])</f>
        <v>525786.68324755982</v>
      </c>
      <c r="Q27" s="5">
        <f>SUM(tb_BaseDados_Anterior[[#This Row],[Abril]:[Junho]])</f>
        <v>51480.808535936114</v>
      </c>
      <c r="R27" s="5">
        <f>SUM(tb_BaseDados_Anterior[[#This Row],[Julho]:[Setembro]])</f>
        <v>0</v>
      </c>
      <c r="S27" s="5">
        <f>SUM(tb_BaseDados_Anterior[[#This Row],[Outubro]:[Dezembro]])</f>
        <v>0</v>
      </c>
    </row>
    <row r="28" spans="1:19" x14ac:dyDescent="0.25">
      <c r="A28" s="4">
        <v>1451220300</v>
      </c>
      <c r="B28" t="s">
        <v>33</v>
      </c>
      <c r="C2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8" s="5">
        <v>1128.4872404614021</v>
      </c>
      <c r="E28" s="5">
        <v>363.08905057675241</v>
      </c>
      <c r="F28" s="5">
        <v>758.79472049689446</v>
      </c>
      <c r="G28" s="5">
        <v>63.885412599822537</v>
      </c>
      <c r="H28" s="5"/>
      <c r="I28" s="5"/>
      <c r="J28" s="5"/>
      <c r="K28" s="5"/>
      <c r="L28" s="5"/>
      <c r="M28" s="5"/>
      <c r="N28" s="5"/>
      <c r="O28" s="5"/>
      <c r="P28" s="5">
        <f>SUM(tb_BaseDados_Anterior[[#This Row],[Janeiro]:[Março]])</f>
        <v>2250.3710115350491</v>
      </c>
      <c r="Q28" s="5">
        <f>SUM(tb_BaseDados_Anterior[[#This Row],[Abril]:[Junho]])</f>
        <v>63.885412599822537</v>
      </c>
      <c r="R28" s="5">
        <f>SUM(tb_BaseDados_Anterior[[#This Row],[Julho]:[Setembro]])</f>
        <v>0</v>
      </c>
      <c r="S28" s="5">
        <f>SUM(tb_BaseDados_Anterior[[#This Row],[Outubro]:[Dezembro]])</f>
        <v>0</v>
      </c>
    </row>
    <row r="29" spans="1:19" x14ac:dyDescent="0.25">
      <c r="A29" s="4">
        <v>1459020100</v>
      </c>
      <c r="B29" t="s">
        <v>15</v>
      </c>
      <c r="C2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9" s="5">
        <v>1954.7779414374447</v>
      </c>
      <c r="E29" s="5">
        <v>833.98818101153506</v>
      </c>
      <c r="F29" s="5">
        <v>321.07295474711623</v>
      </c>
      <c r="G29" s="5">
        <v>0.27116237799467613</v>
      </c>
      <c r="H29" s="5"/>
      <c r="I29" s="5"/>
      <c r="J29" s="5"/>
      <c r="K29" s="5"/>
      <c r="L29" s="5"/>
      <c r="M29" s="5"/>
      <c r="N29" s="5"/>
      <c r="O29" s="5"/>
      <c r="P29" s="5">
        <f>SUM(tb_BaseDados_Anterior[[#This Row],[Janeiro]:[Março]])</f>
        <v>3109.8390771960958</v>
      </c>
      <c r="Q29" s="5">
        <f>SUM(tb_BaseDados_Anterior[[#This Row],[Abril]:[Junho]])</f>
        <v>0.27116237799467613</v>
      </c>
      <c r="R29" s="5">
        <f>SUM(tb_BaseDados_Anterior[[#This Row],[Julho]:[Setembro]])</f>
        <v>0</v>
      </c>
      <c r="S29" s="5">
        <f>SUM(tb_BaseDados_Anterior[[#This Row],[Outubro]:[Dezembro]])</f>
        <v>0</v>
      </c>
    </row>
    <row r="30" spans="1:19" x14ac:dyDescent="0.25">
      <c r="A30" s="4">
        <v>1463110100</v>
      </c>
      <c r="B30" t="s">
        <v>38</v>
      </c>
      <c r="C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0" s="5">
        <v>9.0434338952972499</v>
      </c>
      <c r="E30" s="5">
        <v>9.4358030168589178</v>
      </c>
      <c r="F30" s="5">
        <v>9.5112688553682343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5">
        <f>SUM(tb_BaseDados_Anterior[[#This Row],[Janeiro]:[Março]])</f>
        <v>27.990505767524404</v>
      </c>
      <c r="Q30" s="5">
        <f>SUM(tb_BaseDados_Anterior[[#This Row],[Abril]:[Junho]])</f>
        <v>0</v>
      </c>
      <c r="R30" s="5">
        <f>SUM(tb_BaseDados_Anterior[[#This Row],[Julho]:[Setembro]])</f>
        <v>0</v>
      </c>
      <c r="S30" s="5">
        <f>SUM(tb_BaseDados_Anterior[[#This Row],[Outubro]:[Dezembro]])</f>
        <v>0</v>
      </c>
    </row>
    <row r="31" spans="1:19" x14ac:dyDescent="0.25">
      <c r="A31" s="4">
        <v>1463920100</v>
      </c>
      <c r="B31" t="s">
        <v>40</v>
      </c>
      <c r="C3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1" s="5">
        <v>2512.4677817213842</v>
      </c>
      <c r="E31" s="5">
        <v>9952.5133984028398</v>
      </c>
      <c r="F31" s="5">
        <v>2463.5619787045252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5">
        <f>SUM(tb_BaseDados_Anterior[[#This Row],[Janeiro]:[Março]])</f>
        <v>14928.54315882875</v>
      </c>
      <c r="Q31" s="5">
        <f>SUM(tb_BaseDados_Anterior[[#This Row],[Abril]:[Junho]])</f>
        <v>0</v>
      </c>
      <c r="R31" s="5">
        <f>SUM(tb_BaseDados_Anterior[[#This Row],[Julho]:[Setembro]])</f>
        <v>0</v>
      </c>
      <c r="S31" s="5">
        <f>SUM(tb_BaseDados_Anterior[[#This Row],[Outubro]:[Dezembro]])</f>
        <v>0</v>
      </c>
    </row>
    <row r="32" spans="1:19" x14ac:dyDescent="0.25">
      <c r="A32" s="4">
        <v>1499610100</v>
      </c>
      <c r="B32" t="s">
        <v>44</v>
      </c>
      <c r="C3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2" s="5">
        <v>5.0779325643300801</v>
      </c>
      <c r="E32" s="5">
        <v>5.9123336291038155</v>
      </c>
      <c r="F32" s="5">
        <v>5.5626796805678795</v>
      </c>
      <c r="G32" s="5">
        <v>1.755527950310559</v>
      </c>
      <c r="H32" s="5"/>
      <c r="I32" s="5"/>
      <c r="J32" s="5"/>
      <c r="K32" s="5"/>
      <c r="L32" s="5"/>
      <c r="M32" s="5"/>
      <c r="N32" s="5"/>
      <c r="O32" s="5"/>
      <c r="P32" s="5">
        <f>SUM(tb_BaseDados_Anterior[[#This Row],[Janeiro]:[Março]])</f>
        <v>16.552945874001775</v>
      </c>
      <c r="Q32" s="5">
        <f>SUM(tb_BaseDados_Anterior[[#This Row],[Abril]:[Junho]])</f>
        <v>1.755527950310559</v>
      </c>
      <c r="R32" s="5">
        <f>SUM(tb_BaseDados_Anterior[[#This Row],[Julho]:[Setembro]])</f>
        <v>0</v>
      </c>
      <c r="S32" s="5">
        <f>SUM(tb_BaseDados_Anterior[[#This Row],[Outubro]:[Dezembro]])</f>
        <v>0</v>
      </c>
    </row>
    <row r="33" spans="1:19" x14ac:dyDescent="0.25">
      <c r="A33" s="4">
        <v>1499910100</v>
      </c>
      <c r="B33" t="s">
        <v>46</v>
      </c>
      <c r="C3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3" s="5">
        <v>104.21086956521738</v>
      </c>
      <c r="E33" s="5">
        <v>122.37034605146407</v>
      </c>
      <c r="F33" s="5">
        <v>228.16210292812778</v>
      </c>
      <c r="G33" s="5">
        <v>8.8067701863354042</v>
      </c>
      <c r="H33" s="5"/>
      <c r="I33" s="5"/>
      <c r="J33" s="5"/>
      <c r="K33" s="5"/>
      <c r="L33" s="5"/>
      <c r="M33" s="5"/>
      <c r="N33" s="5"/>
      <c r="O33" s="5"/>
      <c r="P33" s="5">
        <f>SUM(tb_BaseDados_Anterior[[#This Row],[Janeiro]:[Março]])</f>
        <v>454.7433185448092</v>
      </c>
      <c r="Q33" s="5">
        <f>SUM(tb_BaseDados_Anterior[[#This Row],[Abril]:[Junho]])</f>
        <v>8.8067701863354042</v>
      </c>
      <c r="R33" s="5">
        <f>SUM(tb_BaseDados_Anterior[[#This Row],[Julho]:[Setembro]])</f>
        <v>0</v>
      </c>
      <c r="S33" s="5">
        <f>SUM(tb_BaseDados_Anterior[[#This Row],[Outubro]:[Dezembro]])</f>
        <v>0</v>
      </c>
    </row>
    <row r="34" spans="1:19" x14ac:dyDescent="0.25">
      <c r="A34" s="4"/>
      <c r="C3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>
        <f>SUM(tb_BaseDados_Anterior[[#This Row],[Janeiro]:[Março]])</f>
        <v>0</v>
      </c>
      <c r="Q34" s="5">
        <f>SUM(tb_BaseDados_Anterior[[#This Row],[Abril]:[Junho]])</f>
        <v>0</v>
      </c>
      <c r="R34" s="5">
        <f>SUM(tb_BaseDados_Anterior[[#This Row],[Julho]:[Setembro]])</f>
        <v>0</v>
      </c>
      <c r="S34" s="5">
        <f>SUM(tb_BaseDados_Anterior[[#This Row],[Outubro]:[Dezembro]])</f>
        <v>0</v>
      </c>
    </row>
    <row r="35" spans="1:19" x14ac:dyDescent="0.25">
      <c r="A35" s="4"/>
      <c r="C3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>
        <f>SUM(tb_BaseDados_Anterior[[#This Row],[Janeiro]:[Março]])</f>
        <v>0</v>
      </c>
      <c r="Q35" s="5">
        <f>SUM(tb_BaseDados_Anterior[[#This Row],[Abril]:[Junho]])</f>
        <v>0</v>
      </c>
      <c r="R35" s="5">
        <f>SUM(tb_BaseDados_Anterior[[#This Row],[Julho]:[Setembro]])</f>
        <v>0</v>
      </c>
      <c r="S35" s="5">
        <f>SUM(tb_BaseDados_Anterior[[#This Row],[Outubro]:[Dezembro]])</f>
        <v>0</v>
      </c>
    </row>
    <row r="36" spans="1:19" x14ac:dyDescent="0.25">
      <c r="A36" s="4"/>
      <c r="C3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>
        <f>SUM(tb_BaseDados_Anterior[[#This Row],[Janeiro]:[Março]])</f>
        <v>0</v>
      </c>
      <c r="Q36" s="5">
        <f>SUM(tb_BaseDados_Anterior[[#This Row],[Abril]:[Junho]])</f>
        <v>0</v>
      </c>
      <c r="R36" s="5">
        <f>SUM(tb_BaseDados_Anterior[[#This Row],[Julho]:[Setembro]])</f>
        <v>0</v>
      </c>
      <c r="S36" s="5">
        <f>SUM(tb_BaseDados_Anterior[[#This Row],[Outubro]:[Dezembro]])</f>
        <v>0</v>
      </c>
    </row>
    <row r="37" spans="1:19" x14ac:dyDescent="0.25">
      <c r="A37" s="4"/>
      <c r="C3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>
        <f>SUM(tb_BaseDados_Anterior[[#This Row],[Janeiro]:[Março]])</f>
        <v>0</v>
      </c>
      <c r="Q37" s="5">
        <f>SUM(tb_BaseDados_Anterior[[#This Row],[Abril]:[Junho]])</f>
        <v>0</v>
      </c>
      <c r="R37" s="5">
        <f>SUM(tb_BaseDados_Anterior[[#This Row],[Julho]:[Setembro]])</f>
        <v>0</v>
      </c>
      <c r="S37" s="5">
        <f>SUM(tb_BaseDados_Anterior[[#This Row],[Outubro]:[Dezembro]])</f>
        <v>0</v>
      </c>
    </row>
    <row r="38" spans="1:19" x14ac:dyDescent="0.25">
      <c r="A38" s="4"/>
      <c r="C3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>
        <f>SUM(tb_BaseDados_Anterior[[#This Row],[Janeiro]:[Março]])</f>
        <v>0</v>
      </c>
      <c r="Q38" s="5">
        <f>SUM(tb_BaseDados_Anterior[[#This Row],[Abril]:[Junho]])</f>
        <v>0</v>
      </c>
      <c r="R38" s="5">
        <f>SUM(tb_BaseDados_Anterior[[#This Row],[Julho]:[Setembro]])</f>
        <v>0</v>
      </c>
      <c r="S38" s="5">
        <f>SUM(tb_BaseDados_Anterior[[#This Row],[Outubro]:[Dezembro]])</f>
        <v>0</v>
      </c>
    </row>
    <row r="39" spans="1:19" x14ac:dyDescent="0.25">
      <c r="A39" s="4"/>
      <c r="C3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>
        <f>SUM(tb_BaseDados_Anterior[[#This Row],[Janeiro]:[Março]])</f>
        <v>0</v>
      </c>
      <c r="Q39" s="5">
        <f>SUM(tb_BaseDados_Anterior[[#This Row],[Abril]:[Junho]])</f>
        <v>0</v>
      </c>
      <c r="R39" s="5">
        <f>SUM(tb_BaseDados_Anterior[[#This Row],[Julho]:[Setembro]])</f>
        <v>0</v>
      </c>
      <c r="S39" s="5">
        <f>SUM(tb_BaseDados_Anterior[[#This Row],[Outubro]:[Dezembro]])</f>
        <v>0</v>
      </c>
    </row>
    <row r="40" spans="1:19" x14ac:dyDescent="0.25">
      <c r="A40" s="4"/>
      <c r="C4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>
        <f>SUM(tb_BaseDados_Anterior[[#This Row],[Janeiro]:[Março]])</f>
        <v>0</v>
      </c>
      <c r="Q40" s="5">
        <f>SUM(tb_BaseDados_Anterior[[#This Row],[Abril]:[Junho]])</f>
        <v>0</v>
      </c>
      <c r="R40" s="5">
        <f>SUM(tb_BaseDados_Anterior[[#This Row],[Julho]:[Setembro]])</f>
        <v>0</v>
      </c>
      <c r="S40" s="5">
        <f>SUM(tb_BaseDados_Anterior[[#This Row],[Outubro]:[Dezembro]])</f>
        <v>0</v>
      </c>
    </row>
    <row r="41" spans="1:19" x14ac:dyDescent="0.25">
      <c r="A41" s="4"/>
      <c r="C4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>
        <f>SUM(tb_BaseDados_Anterior[[#This Row],[Janeiro]:[Março]])</f>
        <v>0</v>
      </c>
      <c r="Q41" s="5">
        <f>SUM(tb_BaseDados_Anterior[[#This Row],[Abril]:[Junho]])</f>
        <v>0</v>
      </c>
      <c r="R41" s="5">
        <f>SUM(tb_BaseDados_Anterior[[#This Row],[Julho]:[Setembro]])</f>
        <v>0</v>
      </c>
      <c r="S41" s="5">
        <f>SUM(tb_BaseDados_Anterior[[#This Row],[Outubro]:[Dezembro]])</f>
        <v>0</v>
      </c>
    </row>
    <row r="42" spans="1:19" x14ac:dyDescent="0.25">
      <c r="A42" s="4"/>
      <c r="C4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>
        <f>SUM(tb_BaseDados_Anterior[[#This Row],[Janeiro]:[Março]])</f>
        <v>0</v>
      </c>
      <c r="Q42" s="5">
        <f>SUM(tb_BaseDados_Anterior[[#This Row],[Abril]:[Junho]])</f>
        <v>0</v>
      </c>
      <c r="R42" s="5">
        <f>SUM(tb_BaseDados_Anterior[[#This Row],[Julho]:[Setembro]])</f>
        <v>0</v>
      </c>
      <c r="S42" s="5">
        <f>SUM(tb_BaseDados_Anterior[[#This Row],[Outubro]:[Dezembro]])</f>
        <v>0</v>
      </c>
    </row>
    <row r="43" spans="1:19" x14ac:dyDescent="0.25">
      <c r="A43" s="4"/>
      <c r="C4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>
        <f>SUM(tb_BaseDados_Anterior[[#This Row],[Janeiro]:[Março]])</f>
        <v>0</v>
      </c>
      <c r="Q43" s="5">
        <f>SUM(tb_BaseDados_Anterior[[#This Row],[Abril]:[Junho]])</f>
        <v>0</v>
      </c>
      <c r="R43" s="5">
        <f>SUM(tb_BaseDados_Anterior[[#This Row],[Julho]:[Setembro]])</f>
        <v>0</v>
      </c>
      <c r="S43" s="5">
        <f>SUM(tb_BaseDados_Anterior[[#This Row],[Outubro]:[Dezembro]])</f>
        <v>0</v>
      </c>
    </row>
    <row r="44" spans="1:19" x14ac:dyDescent="0.25">
      <c r="A44" s="4"/>
      <c r="C4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>
        <f>SUM(tb_BaseDados_Anterior[[#This Row],[Janeiro]:[Março]])</f>
        <v>0</v>
      </c>
      <c r="Q44" s="5">
        <f>SUM(tb_BaseDados_Anterior[[#This Row],[Abril]:[Junho]])</f>
        <v>0</v>
      </c>
      <c r="R44" s="5">
        <f>SUM(tb_BaseDados_Anterior[[#This Row],[Julho]:[Setembro]])</f>
        <v>0</v>
      </c>
      <c r="S44" s="5">
        <f>SUM(tb_BaseDados_Anterior[[#This Row],[Outubro]:[Dezembro]])</f>
        <v>0</v>
      </c>
    </row>
    <row r="45" spans="1:19" x14ac:dyDescent="0.25">
      <c r="A45" s="4"/>
      <c r="C4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>
        <f>SUM(tb_BaseDados_Anterior[[#This Row],[Janeiro]:[Março]])</f>
        <v>0</v>
      </c>
      <c r="Q45" s="5">
        <f>SUM(tb_BaseDados_Anterior[[#This Row],[Abril]:[Junho]])</f>
        <v>0</v>
      </c>
      <c r="R45" s="5">
        <f>SUM(tb_BaseDados_Anterior[[#This Row],[Julho]:[Setembro]])</f>
        <v>0</v>
      </c>
      <c r="S45" s="5">
        <f>SUM(tb_BaseDados_Anterior[[#This Row],[Outubro]:[Dezembro]])</f>
        <v>0</v>
      </c>
    </row>
    <row r="46" spans="1:19" x14ac:dyDescent="0.25">
      <c r="A46" s="4"/>
      <c r="C4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>
        <f>SUM(tb_BaseDados_Anterior[[#This Row],[Janeiro]:[Março]])</f>
        <v>0</v>
      </c>
      <c r="Q46" s="5">
        <f>SUM(tb_BaseDados_Anterior[[#This Row],[Abril]:[Junho]])</f>
        <v>0</v>
      </c>
      <c r="R46" s="5">
        <f>SUM(tb_BaseDados_Anterior[[#This Row],[Julho]:[Setembro]])</f>
        <v>0</v>
      </c>
      <c r="S46" s="5">
        <f>SUM(tb_BaseDados_Anterior[[#This Row],[Outubro]:[Dezembro]])</f>
        <v>0</v>
      </c>
    </row>
    <row r="47" spans="1:19" x14ac:dyDescent="0.25">
      <c r="A47" s="4"/>
      <c r="C4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>
        <f>SUM(tb_BaseDados_Anterior[[#This Row],[Janeiro]:[Março]])</f>
        <v>0</v>
      </c>
      <c r="Q47" s="5">
        <f>SUM(tb_BaseDados_Anterior[[#This Row],[Abril]:[Junho]])</f>
        <v>0</v>
      </c>
      <c r="R47" s="5">
        <f>SUM(tb_BaseDados_Anterior[[#This Row],[Julho]:[Setembro]])</f>
        <v>0</v>
      </c>
      <c r="S47" s="5">
        <f>SUM(tb_BaseDados_Anterior[[#This Row],[Outubro]:[Dezembro]])</f>
        <v>0</v>
      </c>
    </row>
    <row r="48" spans="1:19" x14ac:dyDescent="0.25">
      <c r="A48" s="4"/>
      <c r="C4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>
        <f>SUM(tb_BaseDados_Anterior[[#This Row],[Janeiro]:[Março]])</f>
        <v>0</v>
      </c>
      <c r="Q48" s="5">
        <f>SUM(tb_BaseDados_Anterior[[#This Row],[Abril]:[Junho]])</f>
        <v>0</v>
      </c>
      <c r="R48" s="5">
        <f>SUM(tb_BaseDados_Anterior[[#This Row],[Julho]:[Setembro]])</f>
        <v>0</v>
      </c>
      <c r="S48" s="5">
        <f>SUM(tb_BaseDados_Anterior[[#This Row],[Outubro]:[Dezembro]])</f>
        <v>0</v>
      </c>
    </row>
    <row r="49" spans="1:19" x14ac:dyDescent="0.25">
      <c r="A49" s="4"/>
      <c r="C4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>
        <f>SUM(tb_BaseDados_Anterior[[#This Row],[Janeiro]:[Março]])</f>
        <v>0</v>
      </c>
      <c r="Q49" s="5">
        <f>SUM(tb_BaseDados_Anterior[[#This Row],[Abril]:[Junho]])</f>
        <v>0</v>
      </c>
      <c r="R49" s="5">
        <f>SUM(tb_BaseDados_Anterior[[#This Row],[Julho]:[Setembro]])</f>
        <v>0</v>
      </c>
      <c r="S49" s="5">
        <f>SUM(tb_BaseDados_Anterior[[#This Row],[Outubro]:[Dezembro]])</f>
        <v>0</v>
      </c>
    </row>
    <row r="50" spans="1:19" x14ac:dyDescent="0.25">
      <c r="A50" s="4"/>
      <c r="C5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>
        <f>SUM(tb_BaseDados_Anterior[[#This Row],[Janeiro]:[Março]])</f>
        <v>0</v>
      </c>
      <c r="Q50" s="5">
        <f>SUM(tb_BaseDados_Anterior[[#This Row],[Abril]:[Junho]])</f>
        <v>0</v>
      </c>
      <c r="R50" s="5">
        <f>SUM(tb_BaseDados_Anterior[[#This Row],[Julho]:[Setembro]])</f>
        <v>0</v>
      </c>
      <c r="S50" s="5">
        <f>SUM(tb_BaseDados_Anterior[[#This Row],[Outubro]:[Dezembro]])</f>
        <v>0</v>
      </c>
    </row>
    <row r="51" spans="1:19" x14ac:dyDescent="0.25">
      <c r="A51" s="4"/>
      <c r="C5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>
        <f>SUM(tb_BaseDados_Anterior[[#This Row],[Janeiro]:[Março]])</f>
        <v>0</v>
      </c>
      <c r="Q51" s="5">
        <f>SUM(tb_BaseDados_Anterior[[#This Row],[Abril]:[Junho]])</f>
        <v>0</v>
      </c>
      <c r="R51" s="5">
        <f>SUM(tb_BaseDados_Anterior[[#This Row],[Julho]:[Setembro]])</f>
        <v>0</v>
      </c>
      <c r="S51" s="5">
        <f>SUM(tb_BaseDados_Anterior[[#This Row],[Outubro]:[Dezembro]])</f>
        <v>0</v>
      </c>
    </row>
    <row r="52" spans="1:19" x14ac:dyDescent="0.25">
      <c r="A52" s="4"/>
      <c r="C5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>
        <f>SUM(tb_BaseDados_Anterior[[#This Row],[Janeiro]:[Março]])</f>
        <v>0</v>
      </c>
      <c r="Q52" s="5">
        <f>SUM(tb_BaseDados_Anterior[[#This Row],[Abril]:[Junho]])</f>
        <v>0</v>
      </c>
      <c r="R52" s="5">
        <f>SUM(tb_BaseDados_Anterior[[#This Row],[Julho]:[Setembro]])</f>
        <v>0</v>
      </c>
      <c r="S52" s="5">
        <f>SUM(tb_BaseDados_Anterior[[#This Row],[Outubro]:[Dezembro]])</f>
        <v>0</v>
      </c>
    </row>
    <row r="53" spans="1:19" x14ac:dyDescent="0.25">
      <c r="A53" s="4"/>
      <c r="C5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>
        <f>SUM(tb_BaseDados_Anterior[[#This Row],[Janeiro]:[Março]])</f>
        <v>0</v>
      </c>
      <c r="Q53" s="5">
        <f>SUM(tb_BaseDados_Anterior[[#This Row],[Abril]:[Junho]])</f>
        <v>0</v>
      </c>
      <c r="R53" s="5">
        <f>SUM(tb_BaseDados_Anterior[[#This Row],[Julho]:[Setembro]])</f>
        <v>0</v>
      </c>
      <c r="S53" s="5">
        <f>SUM(tb_BaseDados_Anterior[[#This Row],[Outubro]:[Dezembro]])</f>
        <v>0</v>
      </c>
    </row>
    <row r="54" spans="1:19" x14ac:dyDescent="0.25">
      <c r="A54" s="4"/>
      <c r="C5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>
        <f>SUM(tb_BaseDados_Anterior[[#This Row],[Janeiro]:[Março]])</f>
        <v>0</v>
      </c>
      <c r="Q54" s="5">
        <f>SUM(tb_BaseDados_Anterior[[#This Row],[Abril]:[Junho]])</f>
        <v>0</v>
      </c>
      <c r="R54" s="5">
        <f>SUM(tb_BaseDados_Anterior[[#This Row],[Julho]:[Setembro]])</f>
        <v>0</v>
      </c>
      <c r="S54" s="5">
        <f>SUM(tb_BaseDados_Anterior[[#This Row],[Outubro]:[Dezembro]])</f>
        <v>0</v>
      </c>
    </row>
    <row r="55" spans="1:19" x14ac:dyDescent="0.25">
      <c r="A55" s="4"/>
      <c r="C5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>
        <f>SUM(tb_BaseDados_Anterior[[#This Row],[Janeiro]:[Março]])</f>
        <v>0</v>
      </c>
      <c r="Q55" s="5">
        <f>SUM(tb_BaseDados_Anterior[[#This Row],[Abril]:[Junho]])</f>
        <v>0</v>
      </c>
      <c r="R55" s="5">
        <f>SUM(tb_BaseDados_Anterior[[#This Row],[Julho]:[Setembro]])</f>
        <v>0</v>
      </c>
      <c r="S55" s="5">
        <f>SUM(tb_BaseDados_Anterior[[#This Row],[Outubro]:[Dezembro]])</f>
        <v>0</v>
      </c>
    </row>
    <row r="56" spans="1:19" x14ac:dyDescent="0.25">
      <c r="A56" s="4"/>
      <c r="C5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>
        <f>SUM(tb_BaseDados_Anterior[[#This Row],[Janeiro]:[Março]])</f>
        <v>0</v>
      </c>
      <c r="Q56" s="5">
        <f>SUM(tb_BaseDados_Anterior[[#This Row],[Abril]:[Junho]])</f>
        <v>0</v>
      </c>
      <c r="R56" s="5">
        <f>SUM(tb_BaseDados_Anterior[[#This Row],[Julho]:[Setembro]])</f>
        <v>0</v>
      </c>
      <c r="S56" s="5">
        <f>SUM(tb_BaseDados_Anterior[[#This Row],[Outubro]:[Dezembro]])</f>
        <v>0</v>
      </c>
    </row>
    <row r="57" spans="1:19" x14ac:dyDescent="0.25">
      <c r="A57" s="4"/>
      <c r="C5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>
        <f>SUM(tb_BaseDados_Anterior[[#This Row],[Janeiro]:[Março]])</f>
        <v>0</v>
      </c>
      <c r="Q57" s="5">
        <f>SUM(tb_BaseDados_Anterior[[#This Row],[Abril]:[Junho]])</f>
        <v>0</v>
      </c>
      <c r="R57" s="5">
        <f>SUM(tb_BaseDados_Anterior[[#This Row],[Julho]:[Setembro]])</f>
        <v>0</v>
      </c>
      <c r="S57" s="5">
        <f>SUM(tb_BaseDados_Anterior[[#This Row],[Outubro]:[Dezembro]])</f>
        <v>0</v>
      </c>
    </row>
    <row r="58" spans="1:19" x14ac:dyDescent="0.25">
      <c r="A58" s="4"/>
      <c r="C5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>
        <f>SUM(tb_BaseDados_Anterior[[#This Row],[Janeiro]:[Março]])</f>
        <v>0</v>
      </c>
      <c r="Q58" s="5">
        <f>SUM(tb_BaseDados_Anterior[[#This Row],[Abril]:[Junho]])</f>
        <v>0</v>
      </c>
      <c r="R58" s="5">
        <f>SUM(tb_BaseDados_Anterior[[#This Row],[Julho]:[Setembro]])</f>
        <v>0</v>
      </c>
      <c r="S58" s="5">
        <f>SUM(tb_BaseDados_Anterior[[#This Row],[Outubro]:[Dezembro]])</f>
        <v>0</v>
      </c>
    </row>
    <row r="59" spans="1:19" x14ac:dyDescent="0.25">
      <c r="A59" s="4"/>
      <c r="C5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>
        <f>SUM(tb_BaseDados_Anterior[[#This Row],[Janeiro]:[Março]])</f>
        <v>0</v>
      </c>
      <c r="Q59" s="5">
        <f>SUM(tb_BaseDados_Anterior[[#This Row],[Abril]:[Junho]])</f>
        <v>0</v>
      </c>
      <c r="R59" s="5">
        <f>SUM(tb_BaseDados_Anterior[[#This Row],[Julho]:[Setembro]])</f>
        <v>0</v>
      </c>
      <c r="S59" s="5">
        <f>SUM(tb_BaseDados_Anterior[[#This Row],[Outubro]:[Dezembro]])</f>
        <v>0</v>
      </c>
    </row>
    <row r="60" spans="1:19" x14ac:dyDescent="0.25">
      <c r="A60" s="4"/>
      <c r="C6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>
        <f>SUM(tb_BaseDados_Anterior[[#This Row],[Janeiro]:[Março]])</f>
        <v>0</v>
      </c>
      <c r="Q60" s="5">
        <f>SUM(tb_BaseDados_Anterior[[#This Row],[Abril]:[Junho]])</f>
        <v>0</v>
      </c>
      <c r="R60" s="5">
        <f>SUM(tb_BaseDados_Anterior[[#This Row],[Julho]:[Setembro]])</f>
        <v>0</v>
      </c>
      <c r="S60" s="5">
        <f>SUM(tb_BaseDados_Anterior[[#This Row],[Outubro]:[Dezembro]])</f>
        <v>0</v>
      </c>
    </row>
    <row r="61" spans="1:19" x14ac:dyDescent="0.25">
      <c r="A61" s="4"/>
      <c r="C6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>
        <f>SUM(tb_BaseDados_Anterior[[#This Row],[Janeiro]:[Março]])</f>
        <v>0</v>
      </c>
      <c r="Q61" s="5">
        <f>SUM(tb_BaseDados_Anterior[[#This Row],[Abril]:[Junho]])</f>
        <v>0</v>
      </c>
      <c r="R61" s="5">
        <f>SUM(tb_BaseDados_Anterior[[#This Row],[Julho]:[Setembro]])</f>
        <v>0</v>
      </c>
      <c r="S61" s="5">
        <f>SUM(tb_BaseDados_Anterior[[#This Row],[Outubro]:[Dezembro]])</f>
        <v>0</v>
      </c>
    </row>
    <row r="62" spans="1:19" x14ac:dyDescent="0.25">
      <c r="A62" s="4"/>
      <c r="C6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f>SUM(tb_BaseDados_Anterior[[#This Row],[Janeiro]:[Março]])</f>
        <v>0</v>
      </c>
      <c r="Q62" s="5">
        <f>SUM(tb_BaseDados_Anterior[[#This Row],[Abril]:[Junho]])</f>
        <v>0</v>
      </c>
      <c r="R62" s="5">
        <f>SUM(tb_BaseDados_Anterior[[#This Row],[Julho]:[Setembro]])</f>
        <v>0</v>
      </c>
      <c r="S62" s="5">
        <f>SUM(tb_BaseDados_Anterior[[#This Row],[Outubro]:[Dezembro]])</f>
        <v>0</v>
      </c>
    </row>
    <row r="63" spans="1:19" x14ac:dyDescent="0.25">
      <c r="A63" s="4"/>
      <c r="C6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>
        <f>SUM(tb_BaseDados_Anterior[[#This Row],[Janeiro]:[Março]])</f>
        <v>0</v>
      </c>
      <c r="Q63" s="5">
        <f>SUM(tb_BaseDados_Anterior[[#This Row],[Abril]:[Junho]])</f>
        <v>0</v>
      </c>
      <c r="R63" s="5">
        <f>SUM(tb_BaseDados_Anterior[[#This Row],[Julho]:[Setembro]])</f>
        <v>0</v>
      </c>
      <c r="S63" s="5">
        <f>SUM(tb_BaseDados_Anterior[[#This Row],[Outubro]:[Dezembro]])</f>
        <v>0</v>
      </c>
    </row>
    <row r="64" spans="1:19" x14ac:dyDescent="0.25">
      <c r="A64" s="4"/>
      <c r="C6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>
        <f>SUM(tb_BaseDados_Anterior[[#This Row],[Janeiro]:[Março]])</f>
        <v>0</v>
      </c>
      <c r="Q64" s="5">
        <f>SUM(tb_BaseDados_Anterior[[#This Row],[Abril]:[Junho]])</f>
        <v>0</v>
      </c>
      <c r="R64" s="5">
        <f>SUM(tb_BaseDados_Anterior[[#This Row],[Julho]:[Setembro]])</f>
        <v>0</v>
      </c>
      <c r="S64" s="5">
        <f>SUM(tb_BaseDados_Anterior[[#This Row],[Outubro]:[Dezembro]])</f>
        <v>0</v>
      </c>
    </row>
    <row r="65" spans="1:19" x14ac:dyDescent="0.25">
      <c r="A65" s="4"/>
      <c r="C6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>
        <f>SUM(tb_BaseDados_Anterior[[#This Row],[Janeiro]:[Março]])</f>
        <v>0</v>
      </c>
      <c r="Q65" s="5">
        <f>SUM(tb_BaseDados_Anterior[[#This Row],[Abril]:[Junho]])</f>
        <v>0</v>
      </c>
      <c r="R65" s="5">
        <f>SUM(tb_BaseDados_Anterior[[#This Row],[Julho]:[Setembro]])</f>
        <v>0</v>
      </c>
      <c r="S65" s="5">
        <f>SUM(tb_BaseDados_Anterior[[#This Row],[Outubro]:[Dezembro]])</f>
        <v>0</v>
      </c>
    </row>
    <row r="66" spans="1:19" x14ac:dyDescent="0.25">
      <c r="A66" s="4"/>
      <c r="C6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>
        <f>SUM(tb_BaseDados_Anterior[[#This Row],[Janeiro]:[Março]])</f>
        <v>0</v>
      </c>
      <c r="Q66" s="5">
        <f>SUM(tb_BaseDados_Anterior[[#This Row],[Abril]:[Junho]])</f>
        <v>0</v>
      </c>
      <c r="R66" s="5">
        <f>SUM(tb_BaseDados_Anterior[[#This Row],[Julho]:[Setembro]])</f>
        <v>0</v>
      </c>
      <c r="S66" s="5">
        <f>SUM(tb_BaseDados_Anterior[[#This Row],[Outubro]:[Dezembro]])</f>
        <v>0</v>
      </c>
    </row>
    <row r="67" spans="1:19" x14ac:dyDescent="0.25">
      <c r="A67" s="4"/>
      <c r="C6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>
        <f>SUM(tb_BaseDados_Anterior[[#This Row],[Janeiro]:[Março]])</f>
        <v>0</v>
      </c>
      <c r="Q67" s="5">
        <f>SUM(tb_BaseDados_Anterior[[#This Row],[Abril]:[Junho]])</f>
        <v>0</v>
      </c>
      <c r="R67" s="5">
        <f>SUM(tb_BaseDados_Anterior[[#This Row],[Julho]:[Setembro]])</f>
        <v>0</v>
      </c>
      <c r="S67" s="5">
        <f>SUM(tb_BaseDados_Anterior[[#This Row],[Outubro]:[Dezembro]])</f>
        <v>0</v>
      </c>
    </row>
    <row r="68" spans="1:19" x14ac:dyDescent="0.25">
      <c r="A68" s="4"/>
      <c r="C6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>
        <f>SUM(tb_BaseDados_Anterior[[#This Row],[Janeiro]:[Março]])</f>
        <v>0</v>
      </c>
      <c r="Q68" s="5">
        <f>SUM(tb_BaseDados_Anterior[[#This Row],[Abril]:[Junho]])</f>
        <v>0</v>
      </c>
      <c r="R68" s="5">
        <f>SUM(tb_BaseDados_Anterior[[#This Row],[Julho]:[Setembro]])</f>
        <v>0</v>
      </c>
      <c r="S68" s="5">
        <f>SUM(tb_BaseDados_Anterior[[#This Row],[Outubro]:[Dezembro]])</f>
        <v>0</v>
      </c>
    </row>
    <row r="69" spans="1:19" x14ac:dyDescent="0.25">
      <c r="A69" s="4"/>
      <c r="C6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>
        <f>SUM(tb_BaseDados_Anterior[[#This Row],[Janeiro]:[Março]])</f>
        <v>0</v>
      </c>
      <c r="Q69" s="5">
        <f>SUM(tb_BaseDados_Anterior[[#This Row],[Abril]:[Junho]])</f>
        <v>0</v>
      </c>
      <c r="R69" s="5">
        <f>SUM(tb_BaseDados_Anterior[[#This Row],[Julho]:[Setembro]])</f>
        <v>0</v>
      </c>
      <c r="S69" s="5">
        <f>SUM(tb_BaseDados_Anterior[[#This Row],[Outubro]:[Dezembro]])</f>
        <v>0</v>
      </c>
    </row>
    <row r="70" spans="1:19" x14ac:dyDescent="0.25">
      <c r="A70" s="4"/>
      <c r="C7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>
        <f>SUM(tb_BaseDados_Anterior[[#This Row],[Janeiro]:[Março]])</f>
        <v>0</v>
      </c>
      <c r="Q70" s="5">
        <f>SUM(tb_BaseDados_Anterior[[#This Row],[Abril]:[Junho]])</f>
        <v>0</v>
      </c>
      <c r="R70" s="5">
        <f>SUM(tb_BaseDados_Anterior[[#This Row],[Julho]:[Setembro]])</f>
        <v>0</v>
      </c>
      <c r="S70" s="5">
        <f>SUM(tb_BaseDados_Anterior[[#This Row],[Outubro]:[Dezembro]])</f>
        <v>0</v>
      </c>
    </row>
    <row r="71" spans="1:19" x14ac:dyDescent="0.25">
      <c r="A71" s="4"/>
      <c r="C7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>
        <f>SUM(tb_BaseDados_Anterior[[#This Row],[Janeiro]:[Março]])</f>
        <v>0</v>
      </c>
      <c r="Q71" s="5">
        <f>SUM(tb_BaseDados_Anterior[[#This Row],[Abril]:[Junho]])</f>
        <v>0</v>
      </c>
      <c r="R71" s="5">
        <f>SUM(tb_BaseDados_Anterior[[#This Row],[Julho]:[Setembro]])</f>
        <v>0</v>
      </c>
      <c r="S71" s="5">
        <f>SUM(tb_BaseDados_Anterior[[#This Row],[Outubro]:[Dezembro]])</f>
        <v>0</v>
      </c>
    </row>
    <row r="72" spans="1:19" x14ac:dyDescent="0.25">
      <c r="A72" s="4"/>
      <c r="C7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>
        <f>SUM(tb_BaseDados_Anterior[[#This Row],[Janeiro]:[Março]])</f>
        <v>0</v>
      </c>
      <c r="Q72" s="5">
        <f>SUM(tb_BaseDados_Anterior[[#This Row],[Abril]:[Junho]])</f>
        <v>0</v>
      </c>
      <c r="R72" s="5">
        <f>SUM(tb_BaseDados_Anterior[[#This Row],[Julho]:[Setembro]])</f>
        <v>0</v>
      </c>
      <c r="S72" s="5">
        <f>SUM(tb_BaseDados_Anterior[[#This Row],[Outubro]:[Dezembro]])</f>
        <v>0</v>
      </c>
    </row>
    <row r="73" spans="1:19" x14ac:dyDescent="0.25">
      <c r="A73" s="4"/>
      <c r="C7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>
        <f>SUM(tb_BaseDados_Anterior[[#This Row],[Janeiro]:[Março]])</f>
        <v>0</v>
      </c>
      <c r="Q73" s="5">
        <f>SUM(tb_BaseDados_Anterior[[#This Row],[Abril]:[Junho]])</f>
        <v>0</v>
      </c>
      <c r="R73" s="5">
        <f>SUM(tb_BaseDados_Anterior[[#This Row],[Julho]:[Setembro]])</f>
        <v>0</v>
      </c>
      <c r="S73" s="5">
        <f>SUM(tb_BaseDados_Anterior[[#This Row],[Outubro]:[Dezembro]])</f>
        <v>0</v>
      </c>
    </row>
    <row r="74" spans="1:19" x14ac:dyDescent="0.25">
      <c r="A74" s="4"/>
      <c r="C7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>
        <f>SUM(tb_BaseDados_Anterior[[#This Row],[Janeiro]:[Março]])</f>
        <v>0</v>
      </c>
      <c r="Q74" s="5">
        <f>SUM(tb_BaseDados_Anterior[[#This Row],[Abril]:[Junho]])</f>
        <v>0</v>
      </c>
      <c r="R74" s="5">
        <f>SUM(tb_BaseDados_Anterior[[#This Row],[Julho]:[Setembro]])</f>
        <v>0</v>
      </c>
      <c r="S74" s="5">
        <f>SUM(tb_BaseDados_Anterior[[#This Row],[Outubro]:[Dezembro]])</f>
        <v>0</v>
      </c>
    </row>
    <row r="75" spans="1:19" x14ac:dyDescent="0.25">
      <c r="A75" s="4"/>
      <c r="C7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>
        <f>SUM(tb_BaseDados_Anterior[[#This Row],[Janeiro]:[Março]])</f>
        <v>0</v>
      </c>
      <c r="Q75" s="5">
        <f>SUM(tb_BaseDados_Anterior[[#This Row],[Abril]:[Junho]])</f>
        <v>0</v>
      </c>
      <c r="R75" s="5">
        <f>SUM(tb_BaseDados_Anterior[[#This Row],[Julho]:[Setembro]])</f>
        <v>0</v>
      </c>
      <c r="S75" s="5">
        <f>SUM(tb_BaseDados_Anterior[[#This Row],[Outubro]:[Dezembro]])</f>
        <v>0</v>
      </c>
    </row>
    <row r="76" spans="1:19" x14ac:dyDescent="0.25">
      <c r="A76" s="4"/>
      <c r="C7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>
        <f>SUM(tb_BaseDados_Anterior[[#This Row],[Janeiro]:[Março]])</f>
        <v>0</v>
      </c>
      <c r="Q76" s="5">
        <f>SUM(tb_BaseDados_Anterior[[#This Row],[Abril]:[Junho]])</f>
        <v>0</v>
      </c>
      <c r="R76" s="5">
        <f>SUM(tb_BaseDados_Anterior[[#This Row],[Julho]:[Setembro]])</f>
        <v>0</v>
      </c>
      <c r="S76" s="5">
        <f>SUM(tb_BaseDados_Anterior[[#This Row],[Outubro]:[Dezembro]])</f>
        <v>0</v>
      </c>
    </row>
    <row r="77" spans="1:19" x14ac:dyDescent="0.25">
      <c r="A77" s="4"/>
      <c r="C7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>
        <f>SUM(tb_BaseDados_Anterior[[#This Row],[Janeiro]:[Março]])</f>
        <v>0</v>
      </c>
      <c r="Q77" s="5">
        <f>SUM(tb_BaseDados_Anterior[[#This Row],[Abril]:[Junho]])</f>
        <v>0</v>
      </c>
      <c r="R77" s="5">
        <f>SUM(tb_BaseDados_Anterior[[#This Row],[Julho]:[Setembro]])</f>
        <v>0</v>
      </c>
      <c r="S77" s="5">
        <f>SUM(tb_BaseDados_Anterior[[#This Row],[Outubro]:[Dezembro]])</f>
        <v>0</v>
      </c>
    </row>
    <row r="78" spans="1:19" x14ac:dyDescent="0.25">
      <c r="A78" s="4"/>
      <c r="C7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>
        <f>SUM(tb_BaseDados_Anterior[[#This Row],[Janeiro]:[Março]])</f>
        <v>0</v>
      </c>
      <c r="Q78" s="5">
        <f>SUM(tb_BaseDados_Anterior[[#This Row],[Abril]:[Junho]])</f>
        <v>0</v>
      </c>
      <c r="R78" s="5">
        <f>SUM(tb_BaseDados_Anterior[[#This Row],[Julho]:[Setembro]])</f>
        <v>0</v>
      </c>
      <c r="S78" s="5">
        <f>SUM(tb_BaseDados_Anterior[[#This Row],[Outubro]:[Dezembro]])</f>
        <v>0</v>
      </c>
    </row>
    <row r="79" spans="1:19" x14ac:dyDescent="0.25">
      <c r="A79" s="4"/>
      <c r="C7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>
        <f>SUM(tb_BaseDados_Anterior[[#This Row],[Janeiro]:[Março]])</f>
        <v>0</v>
      </c>
      <c r="Q79" s="5">
        <f>SUM(tb_BaseDados_Anterior[[#This Row],[Abril]:[Junho]])</f>
        <v>0</v>
      </c>
      <c r="R79" s="5">
        <f>SUM(tb_BaseDados_Anterior[[#This Row],[Julho]:[Setembro]])</f>
        <v>0</v>
      </c>
      <c r="S79" s="5">
        <f>SUM(tb_BaseDados_Anterior[[#This Row],[Outubro]:[Dezembro]])</f>
        <v>0</v>
      </c>
    </row>
    <row r="80" spans="1:19" x14ac:dyDescent="0.25">
      <c r="A80" s="4"/>
      <c r="C8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>
        <f>SUM(tb_BaseDados_Anterior[[#This Row],[Janeiro]:[Março]])</f>
        <v>0</v>
      </c>
      <c r="Q80" s="5">
        <f>SUM(tb_BaseDados_Anterior[[#This Row],[Abril]:[Junho]])</f>
        <v>0</v>
      </c>
      <c r="R80" s="5">
        <f>SUM(tb_BaseDados_Anterior[[#This Row],[Julho]:[Setembro]])</f>
        <v>0</v>
      </c>
      <c r="S80" s="5">
        <f>SUM(tb_BaseDados_Anterior[[#This Row],[Outubro]:[Dezembro]])</f>
        <v>0</v>
      </c>
    </row>
    <row r="81" spans="1:19" x14ac:dyDescent="0.25">
      <c r="A81" s="4"/>
      <c r="C8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>
        <f>SUM(tb_BaseDados_Anterior[[#This Row],[Janeiro]:[Março]])</f>
        <v>0</v>
      </c>
      <c r="Q81" s="5">
        <f>SUM(tb_BaseDados_Anterior[[#This Row],[Abril]:[Junho]])</f>
        <v>0</v>
      </c>
      <c r="R81" s="5">
        <f>SUM(tb_BaseDados_Anterior[[#This Row],[Julho]:[Setembro]])</f>
        <v>0</v>
      </c>
      <c r="S81" s="5">
        <f>SUM(tb_BaseDados_Anterior[[#This Row],[Outubro]:[Dezembro]])</f>
        <v>0</v>
      </c>
    </row>
    <row r="82" spans="1:19" x14ac:dyDescent="0.25">
      <c r="A82" s="4"/>
      <c r="C8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>
        <f>SUM(tb_BaseDados_Anterior[[#This Row],[Janeiro]:[Março]])</f>
        <v>0</v>
      </c>
      <c r="Q82" s="5">
        <f>SUM(tb_BaseDados_Anterior[[#This Row],[Abril]:[Junho]])</f>
        <v>0</v>
      </c>
      <c r="R82" s="5">
        <f>SUM(tb_BaseDados_Anterior[[#This Row],[Julho]:[Setembro]])</f>
        <v>0</v>
      </c>
      <c r="S82" s="5">
        <f>SUM(tb_BaseDados_Anterior[[#This Row],[Outubro]:[Dezembro]])</f>
        <v>0</v>
      </c>
    </row>
    <row r="83" spans="1:19" x14ac:dyDescent="0.25">
      <c r="A83" s="4"/>
      <c r="C8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>
        <f>SUM(tb_BaseDados_Anterior[[#This Row],[Janeiro]:[Março]])</f>
        <v>0</v>
      </c>
      <c r="Q83" s="5">
        <f>SUM(tb_BaseDados_Anterior[[#This Row],[Abril]:[Junho]])</f>
        <v>0</v>
      </c>
      <c r="R83" s="5">
        <f>SUM(tb_BaseDados_Anterior[[#This Row],[Julho]:[Setembro]])</f>
        <v>0</v>
      </c>
      <c r="S83" s="5">
        <f>SUM(tb_BaseDados_Anterior[[#This Row],[Outubro]:[Dezembro]])</f>
        <v>0</v>
      </c>
    </row>
    <row r="84" spans="1:19" x14ac:dyDescent="0.25">
      <c r="A84" s="4"/>
      <c r="C8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>
        <f>SUM(tb_BaseDados_Anterior[[#This Row],[Janeiro]:[Março]])</f>
        <v>0</v>
      </c>
      <c r="Q84" s="5">
        <f>SUM(tb_BaseDados_Anterior[[#This Row],[Abril]:[Junho]])</f>
        <v>0</v>
      </c>
      <c r="R84" s="5">
        <f>SUM(tb_BaseDados_Anterior[[#This Row],[Julho]:[Setembro]])</f>
        <v>0</v>
      </c>
      <c r="S84" s="5">
        <f>SUM(tb_BaseDados_Anterior[[#This Row],[Outubro]:[Dezembro]])</f>
        <v>0</v>
      </c>
    </row>
    <row r="85" spans="1:19" x14ac:dyDescent="0.25">
      <c r="A85" s="4"/>
      <c r="C8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>
        <f>SUM(tb_BaseDados_Anterior[[#This Row],[Janeiro]:[Março]])</f>
        <v>0</v>
      </c>
      <c r="Q85" s="5">
        <f>SUM(tb_BaseDados_Anterior[[#This Row],[Abril]:[Junho]])</f>
        <v>0</v>
      </c>
      <c r="R85" s="5">
        <f>SUM(tb_BaseDados_Anterior[[#This Row],[Julho]:[Setembro]])</f>
        <v>0</v>
      </c>
      <c r="S85" s="5">
        <f>SUM(tb_BaseDados_Anterior[[#This Row],[Outubro]:[Dezembro]])</f>
        <v>0</v>
      </c>
    </row>
    <row r="86" spans="1:19" x14ac:dyDescent="0.25">
      <c r="A86" s="4"/>
      <c r="C8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>
        <f>SUM(tb_BaseDados_Anterior[[#This Row],[Janeiro]:[Março]])</f>
        <v>0</v>
      </c>
      <c r="Q86" s="5">
        <f>SUM(tb_BaseDados_Anterior[[#This Row],[Abril]:[Junho]])</f>
        <v>0</v>
      </c>
      <c r="R86" s="5">
        <f>SUM(tb_BaseDados_Anterior[[#This Row],[Julho]:[Setembro]])</f>
        <v>0</v>
      </c>
      <c r="S86" s="5">
        <f>SUM(tb_BaseDados_Anterior[[#This Row],[Outubro]:[Dezembro]])</f>
        <v>0</v>
      </c>
    </row>
    <row r="87" spans="1:19" x14ac:dyDescent="0.25">
      <c r="A87" s="4"/>
      <c r="C8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>
        <f>SUM(tb_BaseDados_Anterior[[#This Row],[Janeiro]:[Março]])</f>
        <v>0</v>
      </c>
      <c r="Q87" s="5">
        <f>SUM(tb_BaseDados_Anterior[[#This Row],[Abril]:[Junho]])</f>
        <v>0</v>
      </c>
      <c r="R87" s="5">
        <f>SUM(tb_BaseDados_Anterior[[#This Row],[Julho]:[Setembro]])</f>
        <v>0</v>
      </c>
      <c r="S87" s="5">
        <f>SUM(tb_BaseDados_Anterior[[#This Row],[Outubro]:[Dezembro]])</f>
        <v>0</v>
      </c>
    </row>
    <row r="88" spans="1:19" x14ac:dyDescent="0.25">
      <c r="A88" s="4"/>
      <c r="C8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>
        <f>SUM(tb_BaseDados_Anterior[[#This Row],[Janeiro]:[Março]])</f>
        <v>0</v>
      </c>
      <c r="Q88" s="5">
        <f>SUM(tb_BaseDados_Anterior[[#This Row],[Abril]:[Junho]])</f>
        <v>0</v>
      </c>
      <c r="R88" s="5">
        <f>SUM(tb_BaseDados_Anterior[[#This Row],[Julho]:[Setembro]])</f>
        <v>0</v>
      </c>
      <c r="S88" s="5">
        <f>SUM(tb_BaseDados_Anterior[[#This Row],[Outubro]:[Dezembro]])</f>
        <v>0</v>
      </c>
    </row>
    <row r="89" spans="1:19" x14ac:dyDescent="0.25">
      <c r="A89" s="4"/>
      <c r="C8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>
        <f>SUM(tb_BaseDados_Anterior[[#This Row],[Janeiro]:[Março]])</f>
        <v>0</v>
      </c>
      <c r="Q89" s="5">
        <f>SUM(tb_BaseDados_Anterior[[#This Row],[Abril]:[Junho]])</f>
        <v>0</v>
      </c>
      <c r="R89" s="5">
        <f>SUM(tb_BaseDados_Anterior[[#This Row],[Julho]:[Setembro]])</f>
        <v>0</v>
      </c>
      <c r="S89" s="5">
        <f>SUM(tb_BaseDados_Anterior[[#This Row],[Outubro]:[Dezembro]])</f>
        <v>0</v>
      </c>
    </row>
    <row r="90" spans="1:19" x14ac:dyDescent="0.25">
      <c r="A90" s="4"/>
      <c r="C9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>
        <f>SUM(tb_BaseDados_Anterior[[#This Row],[Janeiro]:[Março]])</f>
        <v>0</v>
      </c>
      <c r="Q90" s="5">
        <f>SUM(tb_BaseDados_Anterior[[#This Row],[Abril]:[Junho]])</f>
        <v>0</v>
      </c>
      <c r="R90" s="5">
        <f>SUM(tb_BaseDados_Anterior[[#This Row],[Julho]:[Setembro]])</f>
        <v>0</v>
      </c>
      <c r="S90" s="5">
        <f>SUM(tb_BaseDados_Anterior[[#This Row],[Outubro]:[Dezembro]])</f>
        <v>0</v>
      </c>
    </row>
    <row r="91" spans="1:19" x14ac:dyDescent="0.25">
      <c r="A91" s="4"/>
      <c r="C9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>
        <f>SUM(tb_BaseDados_Anterior[[#This Row],[Janeiro]:[Março]])</f>
        <v>0</v>
      </c>
      <c r="Q91" s="5">
        <f>SUM(tb_BaseDados_Anterior[[#This Row],[Abril]:[Junho]])</f>
        <v>0</v>
      </c>
      <c r="R91" s="5">
        <f>SUM(tb_BaseDados_Anterior[[#This Row],[Julho]:[Setembro]])</f>
        <v>0</v>
      </c>
      <c r="S91" s="5">
        <f>SUM(tb_BaseDados_Anterior[[#This Row],[Outubro]:[Dezembro]])</f>
        <v>0</v>
      </c>
    </row>
    <row r="92" spans="1:19" x14ac:dyDescent="0.25">
      <c r="A92" s="4"/>
      <c r="C9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>
        <f>SUM(tb_BaseDados_Anterior[[#This Row],[Janeiro]:[Março]])</f>
        <v>0</v>
      </c>
      <c r="Q92" s="5">
        <f>SUM(tb_BaseDados_Anterior[[#This Row],[Abril]:[Junho]])</f>
        <v>0</v>
      </c>
      <c r="R92" s="5">
        <f>SUM(tb_BaseDados_Anterior[[#This Row],[Julho]:[Setembro]])</f>
        <v>0</v>
      </c>
      <c r="S92" s="5">
        <f>SUM(tb_BaseDados_Anterior[[#This Row],[Outubro]:[Dezembro]])</f>
        <v>0</v>
      </c>
    </row>
    <row r="93" spans="1:19" x14ac:dyDescent="0.25">
      <c r="A93" s="4"/>
      <c r="C9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>
        <f>SUM(tb_BaseDados_Anterior[[#This Row],[Janeiro]:[Março]])</f>
        <v>0</v>
      </c>
      <c r="Q93" s="5">
        <f>SUM(tb_BaseDados_Anterior[[#This Row],[Abril]:[Junho]])</f>
        <v>0</v>
      </c>
      <c r="R93" s="5">
        <f>SUM(tb_BaseDados_Anterior[[#This Row],[Julho]:[Setembro]])</f>
        <v>0</v>
      </c>
      <c r="S93" s="5">
        <f>SUM(tb_BaseDados_Anterior[[#This Row],[Outubro]:[Dezembro]])</f>
        <v>0</v>
      </c>
    </row>
    <row r="94" spans="1:19" x14ac:dyDescent="0.25">
      <c r="A94" s="4"/>
      <c r="C9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>
        <f>SUM(tb_BaseDados_Anterior[[#This Row],[Janeiro]:[Março]])</f>
        <v>0</v>
      </c>
      <c r="Q94" s="5">
        <f>SUM(tb_BaseDados_Anterior[[#This Row],[Abril]:[Junho]])</f>
        <v>0</v>
      </c>
      <c r="R94" s="5">
        <f>SUM(tb_BaseDados_Anterior[[#This Row],[Julho]:[Setembro]])</f>
        <v>0</v>
      </c>
      <c r="S94" s="5">
        <f>SUM(tb_BaseDados_Anterior[[#This Row],[Outubro]:[Dezembro]])</f>
        <v>0</v>
      </c>
    </row>
    <row r="95" spans="1:19" x14ac:dyDescent="0.25">
      <c r="A95" s="4"/>
      <c r="C9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>
        <f>SUM(tb_BaseDados_Anterior[[#This Row],[Janeiro]:[Março]])</f>
        <v>0</v>
      </c>
      <c r="Q95" s="5">
        <f>SUM(tb_BaseDados_Anterior[[#This Row],[Abril]:[Junho]])</f>
        <v>0</v>
      </c>
      <c r="R95" s="5">
        <f>SUM(tb_BaseDados_Anterior[[#This Row],[Julho]:[Setembro]])</f>
        <v>0</v>
      </c>
      <c r="S95" s="5">
        <f>SUM(tb_BaseDados_Anterior[[#This Row],[Outubro]:[Dezembro]])</f>
        <v>0</v>
      </c>
    </row>
    <row r="96" spans="1:19" x14ac:dyDescent="0.25">
      <c r="A96" s="4"/>
      <c r="C9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>
        <f>SUM(tb_BaseDados_Anterior[[#This Row],[Janeiro]:[Março]])</f>
        <v>0</v>
      </c>
      <c r="Q96" s="5">
        <f>SUM(tb_BaseDados_Anterior[[#This Row],[Abril]:[Junho]])</f>
        <v>0</v>
      </c>
      <c r="R96" s="5">
        <f>SUM(tb_BaseDados_Anterior[[#This Row],[Julho]:[Setembro]])</f>
        <v>0</v>
      </c>
      <c r="S96" s="5">
        <f>SUM(tb_BaseDados_Anterior[[#This Row],[Outubro]:[Dezembro]])</f>
        <v>0</v>
      </c>
    </row>
    <row r="97" spans="1:19" x14ac:dyDescent="0.25">
      <c r="A97" s="4"/>
      <c r="C9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>
        <f>SUM(tb_BaseDados_Anterior[[#This Row],[Janeiro]:[Março]])</f>
        <v>0</v>
      </c>
      <c r="Q97" s="5">
        <f>SUM(tb_BaseDados_Anterior[[#This Row],[Abril]:[Junho]])</f>
        <v>0</v>
      </c>
      <c r="R97" s="5">
        <f>SUM(tb_BaseDados_Anterior[[#This Row],[Julho]:[Setembro]])</f>
        <v>0</v>
      </c>
      <c r="S97" s="5">
        <f>SUM(tb_BaseDados_Anterior[[#This Row],[Outubro]:[Dezembro]])</f>
        <v>0</v>
      </c>
    </row>
    <row r="98" spans="1:19" x14ac:dyDescent="0.25">
      <c r="A98" s="4"/>
      <c r="C9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>
        <f>SUM(tb_BaseDados_Anterior[[#This Row],[Janeiro]:[Março]])</f>
        <v>0</v>
      </c>
      <c r="Q98" s="5">
        <f>SUM(tb_BaseDados_Anterior[[#This Row],[Abril]:[Junho]])</f>
        <v>0</v>
      </c>
      <c r="R98" s="5">
        <f>SUM(tb_BaseDados_Anterior[[#This Row],[Julho]:[Setembro]])</f>
        <v>0</v>
      </c>
      <c r="S98" s="5">
        <f>SUM(tb_BaseDados_Anterior[[#This Row],[Outubro]:[Dezembro]])</f>
        <v>0</v>
      </c>
    </row>
    <row r="99" spans="1:19" x14ac:dyDescent="0.25">
      <c r="A99" s="4"/>
      <c r="C9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>
        <f>SUM(tb_BaseDados_Anterior[[#This Row],[Janeiro]:[Março]])</f>
        <v>0</v>
      </c>
      <c r="Q99" s="5">
        <f>SUM(tb_BaseDados_Anterior[[#This Row],[Abril]:[Junho]])</f>
        <v>0</v>
      </c>
      <c r="R99" s="5">
        <f>SUM(tb_BaseDados_Anterior[[#This Row],[Julho]:[Setembro]])</f>
        <v>0</v>
      </c>
      <c r="S99" s="5">
        <f>SUM(tb_BaseDados_Anterior[[#This Row],[Outubro]:[Dezembro]])</f>
        <v>0</v>
      </c>
    </row>
    <row r="100" spans="1:19" x14ac:dyDescent="0.25">
      <c r="A100" s="4"/>
      <c r="C10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>
        <f>SUM(tb_BaseDados_Anterior[[#This Row],[Janeiro]:[Março]])</f>
        <v>0</v>
      </c>
      <c r="Q100" s="5">
        <f>SUM(tb_BaseDados_Anterior[[#This Row],[Abril]:[Junho]])</f>
        <v>0</v>
      </c>
      <c r="R100" s="5">
        <f>SUM(tb_BaseDados_Anterior[[#This Row],[Julho]:[Setembro]])</f>
        <v>0</v>
      </c>
      <c r="S100" s="5">
        <f>SUM(tb_BaseDados_Anterior[[#This Row],[Outubro]:[Dezembro]])</f>
        <v>0</v>
      </c>
    </row>
    <row r="101" spans="1:19" x14ac:dyDescent="0.25">
      <c r="A101" s="4"/>
      <c r="C10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>
        <f>SUM(tb_BaseDados_Anterior[[#This Row],[Janeiro]:[Março]])</f>
        <v>0</v>
      </c>
      <c r="Q101" s="5">
        <f>SUM(tb_BaseDados_Anterior[[#This Row],[Abril]:[Junho]])</f>
        <v>0</v>
      </c>
      <c r="R101" s="5">
        <f>SUM(tb_BaseDados_Anterior[[#This Row],[Julho]:[Setembro]])</f>
        <v>0</v>
      </c>
      <c r="S101" s="5">
        <f>SUM(tb_BaseDados_Anterior[[#This Row],[Outubro]:[Dezembro]])</f>
        <v>0</v>
      </c>
    </row>
    <row r="102" spans="1:19" x14ac:dyDescent="0.25">
      <c r="A102" s="4"/>
      <c r="C10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>
        <f>SUM(tb_BaseDados_Anterior[[#This Row],[Janeiro]:[Março]])</f>
        <v>0</v>
      </c>
      <c r="Q102" s="5">
        <f>SUM(tb_BaseDados_Anterior[[#This Row],[Abril]:[Junho]])</f>
        <v>0</v>
      </c>
      <c r="R102" s="5">
        <f>SUM(tb_BaseDados_Anterior[[#This Row],[Julho]:[Setembro]])</f>
        <v>0</v>
      </c>
      <c r="S102" s="5">
        <f>SUM(tb_BaseDados_Anterior[[#This Row],[Outubro]:[Dezembro]])</f>
        <v>0</v>
      </c>
    </row>
    <row r="103" spans="1:19" x14ac:dyDescent="0.25">
      <c r="A103" s="4"/>
      <c r="C10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>
        <f>SUM(tb_BaseDados_Anterior[[#This Row],[Janeiro]:[Março]])</f>
        <v>0</v>
      </c>
      <c r="Q103" s="5">
        <f>SUM(tb_BaseDados_Anterior[[#This Row],[Abril]:[Junho]])</f>
        <v>0</v>
      </c>
      <c r="R103" s="5">
        <f>SUM(tb_BaseDados_Anterior[[#This Row],[Julho]:[Setembro]])</f>
        <v>0</v>
      </c>
      <c r="S103" s="5">
        <f>SUM(tb_BaseDados_Anterior[[#This Row],[Outubro]:[Dezembro]])</f>
        <v>0</v>
      </c>
    </row>
    <row r="104" spans="1:19" x14ac:dyDescent="0.25">
      <c r="A104" s="4"/>
      <c r="C10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>
        <f>SUM(tb_BaseDados_Anterior[[#This Row],[Janeiro]:[Março]])</f>
        <v>0</v>
      </c>
      <c r="Q104" s="5">
        <f>SUM(tb_BaseDados_Anterior[[#This Row],[Abril]:[Junho]])</f>
        <v>0</v>
      </c>
      <c r="R104" s="5">
        <f>SUM(tb_BaseDados_Anterior[[#This Row],[Julho]:[Setembro]])</f>
        <v>0</v>
      </c>
      <c r="S104" s="5">
        <f>SUM(tb_BaseDados_Anterior[[#This Row],[Outubro]:[Dezembro]])</f>
        <v>0</v>
      </c>
    </row>
    <row r="105" spans="1:19" x14ac:dyDescent="0.25">
      <c r="A105" s="4"/>
      <c r="C10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>
        <f>SUM(tb_BaseDados_Anterior[[#This Row],[Janeiro]:[Março]])</f>
        <v>0</v>
      </c>
      <c r="Q105" s="5">
        <f>SUM(tb_BaseDados_Anterior[[#This Row],[Abril]:[Junho]])</f>
        <v>0</v>
      </c>
      <c r="R105" s="5">
        <f>SUM(tb_BaseDados_Anterior[[#This Row],[Julho]:[Setembro]])</f>
        <v>0</v>
      </c>
      <c r="S105" s="5">
        <f>SUM(tb_BaseDados_Anterior[[#This Row],[Outubro]:[Dezembro]])</f>
        <v>0</v>
      </c>
    </row>
    <row r="106" spans="1:19" x14ac:dyDescent="0.25">
      <c r="A106" s="4"/>
      <c r="C10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>
        <f>SUM(tb_BaseDados_Anterior[[#This Row],[Janeiro]:[Março]])</f>
        <v>0</v>
      </c>
      <c r="Q106" s="5">
        <f>SUM(tb_BaseDados_Anterior[[#This Row],[Abril]:[Junho]])</f>
        <v>0</v>
      </c>
      <c r="R106" s="5">
        <f>SUM(tb_BaseDados_Anterior[[#This Row],[Julho]:[Setembro]])</f>
        <v>0</v>
      </c>
      <c r="S106" s="5">
        <f>SUM(tb_BaseDados_Anterior[[#This Row],[Outubro]:[Dezembro]])</f>
        <v>0</v>
      </c>
    </row>
    <row r="107" spans="1:19" x14ac:dyDescent="0.25">
      <c r="A107" s="4"/>
      <c r="C10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>
        <f>SUM(tb_BaseDados_Anterior[[#This Row],[Janeiro]:[Março]])</f>
        <v>0</v>
      </c>
      <c r="Q107" s="5">
        <f>SUM(tb_BaseDados_Anterior[[#This Row],[Abril]:[Junho]])</f>
        <v>0</v>
      </c>
      <c r="R107" s="5">
        <f>SUM(tb_BaseDados_Anterior[[#This Row],[Julho]:[Setembro]])</f>
        <v>0</v>
      </c>
      <c r="S107" s="5">
        <f>SUM(tb_BaseDados_Anterior[[#This Row],[Outubro]:[Dezembro]])</f>
        <v>0</v>
      </c>
    </row>
    <row r="108" spans="1:19" x14ac:dyDescent="0.25">
      <c r="A108" s="4"/>
      <c r="C10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>
        <f>SUM(tb_BaseDados_Anterior[[#This Row],[Janeiro]:[Março]])</f>
        <v>0</v>
      </c>
      <c r="Q108" s="5">
        <f>SUM(tb_BaseDados_Anterior[[#This Row],[Abril]:[Junho]])</f>
        <v>0</v>
      </c>
      <c r="R108" s="5">
        <f>SUM(tb_BaseDados_Anterior[[#This Row],[Julho]:[Setembro]])</f>
        <v>0</v>
      </c>
      <c r="S108" s="5">
        <f>SUM(tb_BaseDados_Anterior[[#This Row],[Outubro]:[Dezembro]])</f>
        <v>0</v>
      </c>
    </row>
    <row r="109" spans="1:19" x14ac:dyDescent="0.25">
      <c r="A109" s="4"/>
      <c r="C10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>
        <f>SUM(tb_BaseDados_Anterior[[#This Row],[Janeiro]:[Março]])</f>
        <v>0</v>
      </c>
      <c r="Q109" s="5">
        <f>SUM(tb_BaseDados_Anterior[[#This Row],[Abril]:[Junho]])</f>
        <v>0</v>
      </c>
      <c r="R109" s="5">
        <f>SUM(tb_BaseDados_Anterior[[#This Row],[Julho]:[Setembro]])</f>
        <v>0</v>
      </c>
      <c r="S109" s="5">
        <f>SUM(tb_BaseDados_Anterior[[#This Row],[Outubro]:[Dezembro]])</f>
        <v>0</v>
      </c>
    </row>
    <row r="110" spans="1:19" x14ac:dyDescent="0.25">
      <c r="A110" s="4"/>
      <c r="C11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>
        <f>SUM(tb_BaseDados_Anterior[[#This Row],[Janeiro]:[Março]])</f>
        <v>0</v>
      </c>
      <c r="Q110" s="5">
        <f>SUM(tb_BaseDados_Anterior[[#This Row],[Abril]:[Junho]])</f>
        <v>0</v>
      </c>
      <c r="R110" s="5">
        <f>SUM(tb_BaseDados_Anterior[[#This Row],[Julho]:[Setembro]])</f>
        <v>0</v>
      </c>
      <c r="S110" s="5">
        <f>SUM(tb_BaseDados_Anterior[[#This Row],[Outubro]:[Dezembro]])</f>
        <v>0</v>
      </c>
    </row>
    <row r="111" spans="1:19" x14ac:dyDescent="0.25">
      <c r="A111" s="4"/>
      <c r="C11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>
        <f>SUM(tb_BaseDados_Anterior[[#This Row],[Janeiro]:[Março]])</f>
        <v>0</v>
      </c>
      <c r="Q111" s="5">
        <f>SUM(tb_BaseDados_Anterior[[#This Row],[Abril]:[Junho]])</f>
        <v>0</v>
      </c>
      <c r="R111" s="5">
        <f>SUM(tb_BaseDados_Anterior[[#This Row],[Julho]:[Setembro]])</f>
        <v>0</v>
      </c>
      <c r="S111" s="5">
        <f>SUM(tb_BaseDados_Anterior[[#This Row],[Outubro]:[Dezembro]])</f>
        <v>0</v>
      </c>
    </row>
    <row r="112" spans="1:19" x14ac:dyDescent="0.25">
      <c r="A112" s="4"/>
      <c r="C11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>
        <f>SUM(tb_BaseDados_Anterior[[#This Row],[Janeiro]:[Março]])</f>
        <v>0</v>
      </c>
      <c r="Q112" s="5">
        <f>SUM(tb_BaseDados_Anterior[[#This Row],[Abril]:[Junho]])</f>
        <v>0</v>
      </c>
      <c r="R112" s="5">
        <f>SUM(tb_BaseDados_Anterior[[#This Row],[Julho]:[Setembro]])</f>
        <v>0</v>
      </c>
      <c r="S112" s="5">
        <f>SUM(tb_BaseDados_Anterior[[#This Row],[Outubro]:[Dezembro]])</f>
        <v>0</v>
      </c>
    </row>
    <row r="113" spans="1:19" x14ac:dyDescent="0.25">
      <c r="A113" s="4"/>
      <c r="C11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>
        <f>SUM(tb_BaseDados_Anterior[[#This Row],[Janeiro]:[Março]])</f>
        <v>0</v>
      </c>
      <c r="Q113" s="5">
        <f>SUM(tb_BaseDados_Anterior[[#This Row],[Abril]:[Junho]])</f>
        <v>0</v>
      </c>
      <c r="R113" s="5">
        <f>SUM(tb_BaseDados_Anterior[[#This Row],[Julho]:[Setembro]])</f>
        <v>0</v>
      </c>
      <c r="S113" s="5">
        <f>SUM(tb_BaseDados_Anterior[[#This Row],[Outubro]:[Dezembro]])</f>
        <v>0</v>
      </c>
    </row>
    <row r="114" spans="1:19" x14ac:dyDescent="0.25">
      <c r="A114" s="4"/>
      <c r="C11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>
        <f>SUM(tb_BaseDados_Anterior[[#This Row],[Janeiro]:[Março]])</f>
        <v>0</v>
      </c>
      <c r="Q114" s="5">
        <f>SUM(tb_BaseDados_Anterior[[#This Row],[Abril]:[Junho]])</f>
        <v>0</v>
      </c>
      <c r="R114" s="5">
        <f>SUM(tb_BaseDados_Anterior[[#This Row],[Julho]:[Setembro]])</f>
        <v>0</v>
      </c>
      <c r="S114" s="5">
        <f>SUM(tb_BaseDados_Anterior[[#This Row],[Outubro]:[Dezembro]])</f>
        <v>0</v>
      </c>
    </row>
    <row r="115" spans="1:19" x14ac:dyDescent="0.25">
      <c r="A115" s="4"/>
      <c r="C11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>
        <f>SUM(tb_BaseDados_Anterior[[#This Row],[Janeiro]:[Março]])</f>
        <v>0</v>
      </c>
      <c r="Q115" s="5">
        <f>SUM(tb_BaseDados_Anterior[[#This Row],[Abril]:[Junho]])</f>
        <v>0</v>
      </c>
      <c r="R115" s="5">
        <f>SUM(tb_BaseDados_Anterior[[#This Row],[Julho]:[Setembro]])</f>
        <v>0</v>
      </c>
      <c r="S115" s="5">
        <f>SUM(tb_BaseDados_Anterior[[#This Row],[Outubro]:[Dezembro]])</f>
        <v>0</v>
      </c>
    </row>
    <row r="116" spans="1:19" x14ac:dyDescent="0.25">
      <c r="A116" s="4"/>
      <c r="C11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>
        <f>SUM(tb_BaseDados_Anterior[[#This Row],[Janeiro]:[Março]])</f>
        <v>0</v>
      </c>
      <c r="Q116" s="5">
        <f>SUM(tb_BaseDados_Anterior[[#This Row],[Abril]:[Junho]])</f>
        <v>0</v>
      </c>
      <c r="R116" s="5">
        <f>SUM(tb_BaseDados_Anterior[[#This Row],[Julho]:[Setembro]])</f>
        <v>0</v>
      </c>
      <c r="S116" s="5">
        <f>SUM(tb_BaseDados_Anterior[[#This Row],[Outubro]:[Dezembro]])</f>
        <v>0</v>
      </c>
    </row>
    <row r="117" spans="1:19" x14ac:dyDescent="0.25">
      <c r="A117" s="4"/>
      <c r="C11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>
        <f>SUM(tb_BaseDados_Anterior[[#This Row],[Janeiro]:[Março]])</f>
        <v>0</v>
      </c>
      <c r="Q117" s="5">
        <f>SUM(tb_BaseDados_Anterior[[#This Row],[Abril]:[Junho]])</f>
        <v>0</v>
      </c>
      <c r="R117" s="5">
        <f>SUM(tb_BaseDados_Anterior[[#This Row],[Julho]:[Setembro]])</f>
        <v>0</v>
      </c>
      <c r="S117" s="5">
        <f>SUM(tb_BaseDados_Anterior[[#This Row],[Outubro]:[Dezembro]])</f>
        <v>0</v>
      </c>
    </row>
    <row r="118" spans="1:19" x14ac:dyDescent="0.25">
      <c r="A118" s="4"/>
      <c r="C11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>
        <f>SUM(tb_BaseDados_Anterior[[#This Row],[Janeiro]:[Março]])</f>
        <v>0</v>
      </c>
      <c r="Q118" s="5">
        <f>SUM(tb_BaseDados_Anterior[[#This Row],[Abril]:[Junho]])</f>
        <v>0</v>
      </c>
      <c r="R118" s="5">
        <f>SUM(tb_BaseDados_Anterior[[#This Row],[Julho]:[Setembro]])</f>
        <v>0</v>
      </c>
      <c r="S118" s="5">
        <f>SUM(tb_BaseDados_Anterior[[#This Row],[Outubro]:[Dezembro]])</f>
        <v>0</v>
      </c>
    </row>
    <row r="119" spans="1:19" x14ac:dyDescent="0.25">
      <c r="A119" s="4"/>
      <c r="C11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>
        <f>SUM(tb_BaseDados_Anterior[[#This Row],[Janeiro]:[Março]])</f>
        <v>0</v>
      </c>
      <c r="Q119" s="5">
        <f>SUM(tb_BaseDados_Anterior[[#This Row],[Abril]:[Junho]])</f>
        <v>0</v>
      </c>
      <c r="R119" s="5">
        <f>SUM(tb_BaseDados_Anterior[[#This Row],[Julho]:[Setembro]])</f>
        <v>0</v>
      </c>
      <c r="S119" s="5">
        <f>SUM(tb_BaseDados_Anterior[[#This Row],[Outubro]:[Dezembro]])</f>
        <v>0</v>
      </c>
    </row>
    <row r="120" spans="1:19" x14ac:dyDescent="0.25">
      <c r="A120" s="4"/>
      <c r="C12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>
        <f>SUM(tb_BaseDados_Anterior[[#This Row],[Janeiro]:[Março]])</f>
        <v>0</v>
      </c>
      <c r="Q120" s="5">
        <f>SUM(tb_BaseDados_Anterior[[#This Row],[Abril]:[Junho]])</f>
        <v>0</v>
      </c>
      <c r="R120" s="5">
        <f>SUM(tb_BaseDados_Anterior[[#This Row],[Julho]:[Setembro]])</f>
        <v>0</v>
      </c>
      <c r="S120" s="5">
        <f>SUM(tb_BaseDados_Anterior[[#This Row],[Outubro]:[Dezembro]])</f>
        <v>0</v>
      </c>
    </row>
    <row r="121" spans="1:19" x14ac:dyDescent="0.25">
      <c r="A121" s="4"/>
      <c r="C12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>
        <f>SUM(tb_BaseDados_Anterior[[#This Row],[Janeiro]:[Março]])</f>
        <v>0</v>
      </c>
      <c r="Q121" s="5">
        <f>SUM(tb_BaseDados_Anterior[[#This Row],[Abril]:[Junho]])</f>
        <v>0</v>
      </c>
      <c r="R121" s="5">
        <f>SUM(tb_BaseDados_Anterior[[#This Row],[Julho]:[Setembro]])</f>
        <v>0</v>
      </c>
      <c r="S121" s="5">
        <f>SUM(tb_BaseDados_Anterior[[#This Row],[Outubro]:[Dezembro]])</f>
        <v>0</v>
      </c>
    </row>
    <row r="122" spans="1:19" x14ac:dyDescent="0.25">
      <c r="A122" s="4"/>
      <c r="C12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>
        <f>SUM(tb_BaseDados_Anterior[[#This Row],[Janeiro]:[Março]])</f>
        <v>0</v>
      </c>
      <c r="Q122" s="5">
        <f>SUM(tb_BaseDados_Anterior[[#This Row],[Abril]:[Junho]])</f>
        <v>0</v>
      </c>
      <c r="R122" s="5">
        <f>SUM(tb_BaseDados_Anterior[[#This Row],[Julho]:[Setembro]])</f>
        <v>0</v>
      </c>
      <c r="S122" s="5">
        <f>SUM(tb_BaseDados_Anterior[[#This Row],[Outubro]:[Dezembro]])</f>
        <v>0</v>
      </c>
    </row>
    <row r="123" spans="1:19" x14ac:dyDescent="0.25">
      <c r="A123" s="4"/>
      <c r="C12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>
        <f>SUM(tb_BaseDados_Anterior[[#This Row],[Janeiro]:[Março]])</f>
        <v>0</v>
      </c>
      <c r="Q123" s="5">
        <f>SUM(tb_BaseDados_Anterior[[#This Row],[Abril]:[Junho]])</f>
        <v>0</v>
      </c>
      <c r="R123" s="5">
        <f>SUM(tb_BaseDados_Anterior[[#This Row],[Julho]:[Setembro]])</f>
        <v>0</v>
      </c>
      <c r="S123" s="5">
        <f>SUM(tb_BaseDados_Anterior[[#This Row],[Outubro]:[Dezembro]])</f>
        <v>0</v>
      </c>
    </row>
    <row r="124" spans="1:19" x14ac:dyDescent="0.25">
      <c r="A124" s="4"/>
      <c r="C12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>
        <f>SUM(tb_BaseDados_Anterior[[#This Row],[Janeiro]:[Março]])</f>
        <v>0</v>
      </c>
      <c r="Q124" s="5">
        <f>SUM(tb_BaseDados_Anterior[[#This Row],[Abril]:[Junho]])</f>
        <v>0</v>
      </c>
      <c r="R124" s="5">
        <f>SUM(tb_BaseDados_Anterior[[#This Row],[Julho]:[Setembro]])</f>
        <v>0</v>
      </c>
      <c r="S124" s="5">
        <f>SUM(tb_BaseDados_Anterior[[#This Row],[Outubro]:[Dezembro]])</f>
        <v>0</v>
      </c>
    </row>
    <row r="125" spans="1:19" x14ac:dyDescent="0.25">
      <c r="A125" s="4"/>
      <c r="C12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>
        <f>SUM(tb_BaseDados_Anterior[[#This Row],[Janeiro]:[Março]])</f>
        <v>0</v>
      </c>
      <c r="Q125" s="5">
        <f>SUM(tb_BaseDados_Anterior[[#This Row],[Abril]:[Junho]])</f>
        <v>0</v>
      </c>
      <c r="R125" s="5">
        <f>SUM(tb_BaseDados_Anterior[[#This Row],[Julho]:[Setembro]])</f>
        <v>0</v>
      </c>
      <c r="S125" s="5">
        <f>SUM(tb_BaseDados_Anterior[[#This Row],[Outubro]:[Dezembro]])</f>
        <v>0</v>
      </c>
    </row>
    <row r="126" spans="1:19" x14ac:dyDescent="0.25">
      <c r="A126" s="4"/>
      <c r="C12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>
        <f>SUM(tb_BaseDados_Anterior[[#This Row],[Janeiro]:[Março]])</f>
        <v>0</v>
      </c>
      <c r="Q126" s="5">
        <f>SUM(tb_BaseDados_Anterior[[#This Row],[Abril]:[Junho]])</f>
        <v>0</v>
      </c>
      <c r="R126" s="5">
        <f>SUM(tb_BaseDados_Anterior[[#This Row],[Julho]:[Setembro]])</f>
        <v>0</v>
      </c>
      <c r="S126" s="5">
        <f>SUM(tb_BaseDados_Anterior[[#This Row],[Outubro]:[Dezembro]])</f>
        <v>0</v>
      </c>
    </row>
    <row r="127" spans="1:19" x14ac:dyDescent="0.25">
      <c r="A127" s="4"/>
      <c r="C12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>
        <f>SUM(tb_BaseDados_Anterior[[#This Row],[Janeiro]:[Março]])</f>
        <v>0</v>
      </c>
      <c r="Q127" s="5">
        <f>SUM(tb_BaseDados_Anterior[[#This Row],[Abril]:[Junho]])</f>
        <v>0</v>
      </c>
      <c r="R127" s="5">
        <f>SUM(tb_BaseDados_Anterior[[#This Row],[Julho]:[Setembro]])</f>
        <v>0</v>
      </c>
      <c r="S127" s="5">
        <f>SUM(tb_BaseDados_Anterior[[#This Row],[Outubro]:[Dezembro]])</f>
        <v>0</v>
      </c>
    </row>
    <row r="128" spans="1:19" x14ac:dyDescent="0.25">
      <c r="A128" s="4"/>
      <c r="C12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>
        <f>SUM(tb_BaseDados_Anterior[[#This Row],[Janeiro]:[Março]])</f>
        <v>0</v>
      </c>
      <c r="Q128" s="5">
        <f>SUM(tb_BaseDados_Anterior[[#This Row],[Abril]:[Junho]])</f>
        <v>0</v>
      </c>
      <c r="R128" s="5">
        <f>SUM(tb_BaseDados_Anterior[[#This Row],[Julho]:[Setembro]])</f>
        <v>0</v>
      </c>
      <c r="S128" s="5">
        <f>SUM(tb_BaseDados_Anterior[[#This Row],[Outubro]:[Dezembro]])</f>
        <v>0</v>
      </c>
    </row>
    <row r="129" spans="1:19" x14ac:dyDescent="0.25">
      <c r="A129" s="4"/>
      <c r="C12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>
        <f>SUM(tb_BaseDados_Anterior[[#This Row],[Janeiro]:[Março]])</f>
        <v>0</v>
      </c>
      <c r="Q129" s="5">
        <f>SUM(tb_BaseDados_Anterior[[#This Row],[Abril]:[Junho]])</f>
        <v>0</v>
      </c>
      <c r="R129" s="5">
        <f>SUM(tb_BaseDados_Anterior[[#This Row],[Julho]:[Setembro]])</f>
        <v>0</v>
      </c>
      <c r="S129" s="5">
        <f>SUM(tb_BaseDados_Anterior[[#This Row],[Outubro]:[Dezembro]])</f>
        <v>0</v>
      </c>
    </row>
    <row r="130" spans="1:19" x14ac:dyDescent="0.25">
      <c r="A130" s="4"/>
      <c r="C1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>
        <f>SUM(tb_BaseDados_Anterior[[#This Row],[Janeiro]:[Março]])</f>
        <v>0</v>
      </c>
      <c r="Q130" s="5">
        <f>SUM(tb_BaseDados_Anterior[[#This Row],[Abril]:[Junho]])</f>
        <v>0</v>
      </c>
      <c r="R130" s="5">
        <f>SUM(tb_BaseDados_Anterior[[#This Row],[Julho]:[Setembro]])</f>
        <v>0</v>
      </c>
      <c r="S130" s="5">
        <f>SUM(tb_BaseDados_Anterior[[#This Row],[Outubro]:[Dezembro]])</f>
        <v>0</v>
      </c>
    </row>
    <row r="131" spans="1:19" x14ac:dyDescent="0.25">
      <c r="A131" s="4"/>
      <c r="C13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>
        <f>SUM(tb_BaseDados_Anterior[[#This Row],[Janeiro]:[Março]])</f>
        <v>0</v>
      </c>
      <c r="Q131" s="5">
        <f>SUM(tb_BaseDados_Anterior[[#This Row],[Abril]:[Junho]])</f>
        <v>0</v>
      </c>
      <c r="R131" s="5">
        <f>SUM(tb_BaseDados_Anterior[[#This Row],[Julho]:[Setembro]])</f>
        <v>0</v>
      </c>
      <c r="S131" s="5">
        <f>SUM(tb_BaseDados_Anterior[[#This Row],[Outubro]:[Dezembro]])</f>
        <v>0</v>
      </c>
    </row>
    <row r="132" spans="1:19" x14ac:dyDescent="0.25">
      <c r="A132" s="4"/>
      <c r="C13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>
        <f>SUM(tb_BaseDados_Anterior[[#This Row],[Janeiro]:[Março]])</f>
        <v>0</v>
      </c>
      <c r="Q132" s="5">
        <f>SUM(tb_BaseDados_Anterior[[#This Row],[Abril]:[Junho]])</f>
        <v>0</v>
      </c>
      <c r="R132" s="5">
        <f>SUM(tb_BaseDados_Anterior[[#This Row],[Julho]:[Setembro]])</f>
        <v>0</v>
      </c>
      <c r="S132" s="5">
        <f>SUM(tb_BaseDados_Anterior[[#This Row],[Outubro]:[Dezembro]])</f>
        <v>0</v>
      </c>
    </row>
    <row r="133" spans="1:19" x14ac:dyDescent="0.25">
      <c r="A133" s="4"/>
      <c r="C13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>
        <f>SUM(tb_BaseDados_Anterior[[#This Row],[Janeiro]:[Março]])</f>
        <v>0</v>
      </c>
      <c r="Q133" s="5">
        <f>SUM(tb_BaseDados_Anterior[[#This Row],[Abril]:[Junho]])</f>
        <v>0</v>
      </c>
      <c r="R133" s="5">
        <f>SUM(tb_BaseDados_Anterior[[#This Row],[Julho]:[Setembro]])</f>
        <v>0</v>
      </c>
      <c r="S133" s="5">
        <f>SUM(tb_BaseDados_Anterior[[#This Row],[Outubro]:[Dezembro]])</f>
        <v>0</v>
      </c>
    </row>
    <row r="134" spans="1:19" x14ac:dyDescent="0.25">
      <c r="A134" s="4"/>
      <c r="C13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>
        <f>SUM(tb_BaseDados_Anterior[[#This Row],[Janeiro]:[Março]])</f>
        <v>0</v>
      </c>
      <c r="Q134" s="5">
        <f>SUM(tb_BaseDados_Anterior[[#This Row],[Abril]:[Junho]])</f>
        <v>0</v>
      </c>
      <c r="R134" s="5">
        <f>SUM(tb_BaseDados_Anterior[[#This Row],[Julho]:[Setembro]])</f>
        <v>0</v>
      </c>
      <c r="S134" s="5">
        <f>SUM(tb_BaseDados_Anterior[[#This Row],[Outubro]:[Dezembro]])</f>
        <v>0</v>
      </c>
    </row>
    <row r="135" spans="1:19" x14ac:dyDescent="0.25">
      <c r="A135" s="4"/>
      <c r="C13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>
        <f>SUM(tb_BaseDados_Anterior[[#This Row],[Janeiro]:[Março]])</f>
        <v>0</v>
      </c>
      <c r="Q135" s="5">
        <f>SUM(tb_BaseDados_Anterior[[#This Row],[Abril]:[Junho]])</f>
        <v>0</v>
      </c>
      <c r="R135" s="5">
        <f>SUM(tb_BaseDados_Anterior[[#This Row],[Julho]:[Setembro]])</f>
        <v>0</v>
      </c>
      <c r="S135" s="5">
        <f>SUM(tb_BaseDados_Anterior[[#This Row],[Outubro]:[Dezembro]])</f>
        <v>0</v>
      </c>
    </row>
    <row r="136" spans="1:19" x14ac:dyDescent="0.25">
      <c r="A136" s="4"/>
      <c r="C13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>
        <f>SUM(tb_BaseDados_Anterior[[#This Row],[Janeiro]:[Março]])</f>
        <v>0</v>
      </c>
      <c r="Q136" s="5">
        <f>SUM(tb_BaseDados_Anterior[[#This Row],[Abril]:[Junho]])</f>
        <v>0</v>
      </c>
      <c r="R136" s="5">
        <f>SUM(tb_BaseDados_Anterior[[#This Row],[Julho]:[Setembro]])</f>
        <v>0</v>
      </c>
      <c r="S136" s="5">
        <f>SUM(tb_BaseDados_Anterior[[#This Row],[Outubro]:[Dezembro]])</f>
        <v>0</v>
      </c>
    </row>
    <row r="137" spans="1:19" x14ac:dyDescent="0.25">
      <c r="A137" s="4"/>
      <c r="C13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>
        <f>SUM(tb_BaseDados_Anterior[[#This Row],[Janeiro]:[Março]])</f>
        <v>0</v>
      </c>
      <c r="Q137" s="5">
        <f>SUM(tb_BaseDados_Anterior[[#This Row],[Abril]:[Junho]])</f>
        <v>0</v>
      </c>
      <c r="R137" s="5">
        <f>SUM(tb_BaseDados_Anterior[[#This Row],[Julho]:[Setembro]])</f>
        <v>0</v>
      </c>
      <c r="S137" s="5">
        <f>SUM(tb_BaseDados_Anterior[[#This Row],[Outubro]:[Dezembro]])</f>
        <v>0</v>
      </c>
    </row>
    <row r="138" spans="1:19" x14ac:dyDescent="0.25">
      <c r="A138" s="4"/>
      <c r="C13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>
        <f>SUM(tb_BaseDados_Anterior[[#This Row],[Janeiro]:[Março]])</f>
        <v>0</v>
      </c>
      <c r="Q138" s="5">
        <f>SUM(tb_BaseDados_Anterior[[#This Row],[Abril]:[Junho]])</f>
        <v>0</v>
      </c>
      <c r="R138" s="5">
        <f>SUM(tb_BaseDados_Anterior[[#This Row],[Julho]:[Setembro]])</f>
        <v>0</v>
      </c>
      <c r="S138" s="5">
        <f>SUM(tb_BaseDados_Anterior[[#This Row],[Outubro]:[Dezembro]])</f>
        <v>0</v>
      </c>
    </row>
    <row r="139" spans="1:19" x14ac:dyDescent="0.25">
      <c r="A139" s="4"/>
      <c r="C13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>
        <f>SUM(tb_BaseDados_Anterior[[#This Row],[Janeiro]:[Março]])</f>
        <v>0</v>
      </c>
      <c r="Q139" s="5">
        <f>SUM(tb_BaseDados_Anterior[[#This Row],[Abril]:[Junho]])</f>
        <v>0</v>
      </c>
      <c r="R139" s="5">
        <f>SUM(tb_BaseDados_Anterior[[#This Row],[Julho]:[Setembro]])</f>
        <v>0</v>
      </c>
      <c r="S139" s="5">
        <f>SUM(tb_BaseDados_Anterior[[#This Row],[Outubro]:[Dezembro]])</f>
        <v>0</v>
      </c>
    </row>
    <row r="140" spans="1:19" x14ac:dyDescent="0.25">
      <c r="A140" s="4"/>
      <c r="C14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>
        <f>SUM(tb_BaseDados_Anterior[[#This Row],[Janeiro]:[Março]])</f>
        <v>0</v>
      </c>
      <c r="Q140" s="5">
        <f>SUM(tb_BaseDados_Anterior[[#This Row],[Abril]:[Junho]])</f>
        <v>0</v>
      </c>
      <c r="R140" s="5">
        <f>SUM(tb_BaseDados_Anterior[[#This Row],[Julho]:[Setembro]])</f>
        <v>0</v>
      </c>
      <c r="S140" s="5">
        <f>SUM(tb_BaseDados_Anterior[[#This Row],[Outubro]:[Dezembro]])</f>
        <v>0</v>
      </c>
    </row>
    <row r="141" spans="1:19" x14ac:dyDescent="0.25">
      <c r="A141" s="4"/>
      <c r="C14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>
        <f>SUM(tb_BaseDados_Anterior[[#This Row],[Janeiro]:[Março]])</f>
        <v>0</v>
      </c>
      <c r="Q141" s="5">
        <f>SUM(tb_BaseDados_Anterior[[#This Row],[Abril]:[Junho]])</f>
        <v>0</v>
      </c>
      <c r="R141" s="5">
        <f>SUM(tb_BaseDados_Anterior[[#This Row],[Julho]:[Setembro]])</f>
        <v>0</v>
      </c>
      <c r="S141" s="5">
        <f>SUM(tb_BaseDados_Anterior[[#This Row],[Outubro]:[Dezembro]])</f>
        <v>0</v>
      </c>
    </row>
    <row r="142" spans="1:19" x14ac:dyDescent="0.25">
      <c r="A142" s="4"/>
      <c r="C14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>
        <f>SUM(tb_BaseDados_Anterior[[#This Row],[Janeiro]:[Março]])</f>
        <v>0</v>
      </c>
      <c r="Q142" s="5">
        <f>SUM(tb_BaseDados_Anterior[[#This Row],[Abril]:[Junho]])</f>
        <v>0</v>
      </c>
      <c r="R142" s="5">
        <f>SUM(tb_BaseDados_Anterior[[#This Row],[Julho]:[Setembro]])</f>
        <v>0</v>
      </c>
      <c r="S142" s="5">
        <f>SUM(tb_BaseDados_Anterior[[#This Row],[Outubro]:[Dezembro]])</f>
        <v>0</v>
      </c>
    </row>
    <row r="143" spans="1:19" x14ac:dyDescent="0.25">
      <c r="A143" s="4"/>
      <c r="C14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>
        <f>SUM(tb_BaseDados_Anterior[[#This Row],[Janeiro]:[Março]])</f>
        <v>0</v>
      </c>
      <c r="Q143" s="5">
        <f>SUM(tb_BaseDados_Anterior[[#This Row],[Abril]:[Junho]])</f>
        <v>0</v>
      </c>
      <c r="R143" s="5">
        <f>SUM(tb_BaseDados_Anterior[[#This Row],[Julho]:[Setembro]])</f>
        <v>0</v>
      </c>
      <c r="S143" s="5">
        <f>SUM(tb_BaseDados_Anterior[[#This Row],[Outubro]:[Dezembro]])</f>
        <v>0</v>
      </c>
    </row>
    <row r="144" spans="1:19" x14ac:dyDescent="0.25">
      <c r="A144" s="4"/>
      <c r="C14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>
        <f>SUM(tb_BaseDados_Anterior[[#This Row],[Janeiro]:[Março]])</f>
        <v>0</v>
      </c>
      <c r="Q144" s="5">
        <f>SUM(tb_BaseDados_Anterior[[#This Row],[Abril]:[Junho]])</f>
        <v>0</v>
      </c>
      <c r="R144" s="5">
        <f>SUM(tb_BaseDados_Anterior[[#This Row],[Julho]:[Setembro]])</f>
        <v>0</v>
      </c>
      <c r="S144" s="5">
        <f>SUM(tb_BaseDados_Anterior[[#This Row],[Outubro]:[Dezembro]])</f>
        <v>0</v>
      </c>
    </row>
    <row r="145" spans="1:19" x14ac:dyDescent="0.25">
      <c r="A145" s="4"/>
      <c r="C14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>
        <f>SUM(tb_BaseDados_Anterior[[#This Row],[Janeiro]:[Março]])</f>
        <v>0</v>
      </c>
      <c r="Q145" s="5">
        <f>SUM(tb_BaseDados_Anterior[[#This Row],[Abril]:[Junho]])</f>
        <v>0</v>
      </c>
      <c r="R145" s="5">
        <f>SUM(tb_BaseDados_Anterior[[#This Row],[Julho]:[Setembro]])</f>
        <v>0</v>
      </c>
      <c r="S145" s="5">
        <f>SUM(tb_BaseDados_Anterior[[#This Row],[Outubro]:[Dezembro]])</f>
        <v>0</v>
      </c>
    </row>
    <row r="146" spans="1:19" x14ac:dyDescent="0.25">
      <c r="A146" s="4"/>
      <c r="C14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>
        <f>SUM(tb_BaseDados_Anterior[[#This Row],[Janeiro]:[Março]])</f>
        <v>0</v>
      </c>
      <c r="Q146" s="5">
        <f>SUM(tb_BaseDados_Anterior[[#This Row],[Abril]:[Junho]])</f>
        <v>0</v>
      </c>
      <c r="R146" s="5">
        <f>SUM(tb_BaseDados_Anterior[[#This Row],[Julho]:[Setembro]])</f>
        <v>0</v>
      </c>
      <c r="S146" s="5">
        <f>SUM(tb_BaseDados_Anterior[[#This Row],[Outubro]:[Dezembro]])</f>
        <v>0</v>
      </c>
    </row>
    <row r="147" spans="1:19" x14ac:dyDescent="0.25">
      <c r="A147" s="4"/>
      <c r="C14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>
        <f>SUM(tb_BaseDados_Anterior[[#This Row],[Janeiro]:[Março]])</f>
        <v>0</v>
      </c>
      <c r="Q147" s="5">
        <f>SUM(tb_BaseDados_Anterior[[#This Row],[Abril]:[Junho]])</f>
        <v>0</v>
      </c>
      <c r="R147" s="5">
        <f>SUM(tb_BaseDados_Anterior[[#This Row],[Julho]:[Setembro]])</f>
        <v>0</v>
      </c>
      <c r="S147" s="5">
        <f>SUM(tb_BaseDados_Anterior[[#This Row],[Outubro]:[Dezembro]])</f>
        <v>0</v>
      </c>
    </row>
    <row r="148" spans="1:19" x14ac:dyDescent="0.25">
      <c r="A148" s="4"/>
      <c r="C14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>
        <f>SUM(tb_BaseDados_Anterior[[#This Row],[Janeiro]:[Março]])</f>
        <v>0</v>
      </c>
      <c r="Q148" s="5">
        <f>SUM(tb_BaseDados_Anterior[[#This Row],[Abril]:[Junho]])</f>
        <v>0</v>
      </c>
      <c r="R148" s="5">
        <f>SUM(tb_BaseDados_Anterior[[#This Row],[Julho]:[Setembro]])</f>
        <v>0</v>
      </c>
      <c r="S148" s="5">
        <f>SUM(tb_BaseDados_Anterior[[#This Row],[Outubro]:[Dezembro]])</f>
        <v>0</v>
      </c>
    </row>
    <row r="149" spans="1:19" x14ac:dyDescent="0.25">
      <c r="A149" s="4"/>
      <c r="C14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>
        <f>SUM(tb_BaseDados_Anterior[[#This Row],[Janeiro]:[Março]])</f>
        <v>0</v>
      </c>
      <c r="Q149" s="5">
        <f>SUM(tb_BaseDados_Anterior[[#This Row],[Abril]:[Junho]])</f>
        <v>0</v>
      </c>
      <c r="R149" s="5">
        <f>SUM(tb_BaseDados_Anterior[[#This Row],[Julho]:[Setembro]])</f>
        <v>0</v>
      </c>
      <c r="S149" s="5">
        <f>SUM(tb_BaseDados_Anterior[[#This Row],[Outubro]:[Dezembro]])</f>
        <v>0</v>
      </c>
    </row>
    <row r="150" spans="1:19" x14ac:dyDescent="0.25">
      <c r="A150" s="4"/>
      <c r="C15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>
        <f>SUM(tb_BaseDados_Anterior[[#This Row],[Janeiro]:[Março]])</f>
        <v>0</v>
      </c>
      <c r="Q150" s="5">
        <f>SUM(tb_BaseDados_Anterior[[#This Row],[Abril]:[Junho]])</f>
        <v>0</v>
      </c>
      <c r="R150" s="5">
        <f>SUM(tb_BaseDados_Anterior[[#This Row],[Julho]:[Setembro]])</f>
        <v>0</v>
      </c>
      <c r="S150" s="5">
        <f>SUM(tb_BaseDados_Anterior[[#This Row],[Outubro]:[Dezembro]])</f>
        <v>0</v>
      </c>
    </row>
    <row r="151" spans="1:19" x14ac:dyDescent="0.25">
      <c r="A151" s="4"/>
      <c r="C15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>
        <f>SUM(tb_BaseDados_Anterior[[#This Row],[Janeiro]:[Março]])</f>
        <v>0</v>
      </c>
      <c r="Q151" s="5">
        <f>SUM(tb_BaseDados_Anterior[[#This Row],[Abril]:[Junho]])</f>
        <v>0</v>
      </c>
      <c r="R151" s="5">
        <f>SUM(tb_BaseDados_Anterior[[#This Row],[Julho]:[Setembro]])</f>
        <v>0</v>
      </c>
      <c r="S151" s="5">
        <f>SUM(tb_BaseDados_Anterior[[#This Row],[Outubro]:[Dezembro]])</f>
        <v>0</v>
      </c>
    </row>
    <row r="152" spans="1:19" x14ac:dyDescent="0.25">
      <c r="A152" s="4"/>
      <c r="C15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>
        <f>SUM(tb_BaseDados_Anterior[[#This Row],[Janeiro]:[Março]])</f>
        <v>0</v>
      </c>
      <c r="Q152" s="5">
        <f>SUM(tb_BaseDados_Anterior[[#This Row],[Abril]:[Junho]])</f>
        <v>0</v>
      </c>
      <c r="R152" s="5">
        <f>SUM(tb_BaseDados_Anterior[[#This Row],[Julho]:[Setembro]])</f>
        <v>0</v>
      </c>
      <c r="S152" s="5">
        <f>SUM(tb_BaseDados_Anterior[[#This Row],[Outubro]:[Dezembro]])</f>
        <v>0</v>
      </c>
    </row>
    <row r="153" spans="1:19" x14ac:dyDescent="0.25">
      <c r="A153" s="4"/>
      <c r="C15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>
        <f>SUM(tb_BaseDados_Anterior[[#This Row],[Janeiro]:[Março]])</f>
        <v>0</v>
      </c>
      <c r="Q153" s="5">
        <f>SUM(tb_BaseDados_Anterior[[#This Row],[Abril]:[Junho]])</f>
        <v>0</v>
      </c>
      <c r="R153" s="5">
        <f>SUM(tb_BaseDados_Anterior[[#This Row],[Julho]:[Setembro]])</f>
        <v>0</v>
      </c>
      <c r="S153" s="5">
        <f>SUM(tb_BaseDados_Anterior[[#This Row],[Outubro]:[Dezembro]])</f>
        <v>0</v>
      </c>
    </row>
    <row r="154" spans="1:19" x14ac:dyDescent="0.25">
      <c r="A154" s="4"/>
      <c r="C15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>
        <f>SUM(tb_BaseDados_Anterior[[#This Row],[Janeiro]:[Março]])</f>
        <v>0</v>
      </c>
      <c r="Q154" s="5">
        <f>SUM(tb_BaseDados_Anterior[[#This Row],[Abril]:[Junho]])</f>
        <v>0</v>
      </c>
      <c r="R154" s="5">
        <f>SUM(tb_BaseDados_Anterior[[#This Row],[Julho]:[Setembro]])</f>
        <v>0</v>
      </c>
      <c r="S154" s="5">
        <f>SUM(tb_BaseDados_Anterior[[#This Row],[Outubro]:[Dezembro]])</f>
        <v>0</v>
      </c>
    </row>
    <row r="155" spans="1:19" x14ac:dyDescent="0.25">
      <c r="A155" s="4"/>
      <c r="C15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>
        <f>SUM(tb_BaseDados_Anterior[[#This Row],[Janeiro]:[Março]])</f>
        <v>0</v>
      </c>
      <c r="Q155" s="5">
        <f>SUM(tb_BaseDados_Anterior[[#This Row],[Abril]:[Junho]])</f>
        <v>0</v>
      </c>
      <c r="R155" s="5">
        <f>SUM(tb_BaseDados_Anterior[[#This Row],[Julho]:[Setembro]])</f>
        <v>0</v>
      </c>
      <c r="S155" s="5">
        <f>SUM(tb_BaseDados_Anterior[[#This Row],[Outubro]:[Dezembro]])</f>
        <v>0</v>
      </c>
    </row>
    <row r="156" spans="1:19" x14ac:dyDescent="0.25">
      <c r="A156" s="4"/>
      <c r="C15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>
        <f>SUM(tb_BaseDados_Anterior[[#This Row],[Janeiro]:[Março]])</f>
        <v>0</v>
      </c>
      <c r="Q156" s="5">
        <f>SUM(tb_BaseDados_Anterior[[#This Row],[Abril]:[Junho]])</f>
        <v>0</v>
      </c>
      <c r="R156" s="5">
        <f>SUM(tb_BaseDados_Anterior[[#This Row],[Julho]:[Setembro]])</f>
        <v>0</v>
      </c>
      <c r="S156" s="5">
        <f>SUM(tb_BaseDados_Anterior[[#This Row],[Outubro]:[Dezembro]])</f>
        <v>0</v>
      </c>
    </row>
    <row r="157" spans="1:19" x14ac:dyDescent="0.25">
      <c r="A157" s="4"/>
      <c r="C15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>
        <f>SUM(tb_BaseDados_Anterior[[#This Row],[Janeiro]:[Março]])</f>
        <v>0</v>
      </c>
      <c r="Q157" s="5">
        <f>SUM(tb_BaseDados_Anterior[[#This Row],[Abril]:[Junho]])</f>
        <v>0</v>
      </c>
      <c r="R157" s="5">
        <f>SUM(tb_BaseDados_Anterior[[#This Row],[Julho]:[Setembro]])</f>
        <v>0</v>
      </c>
      <c r="S157" s="5">
        <f>SUM(tb_BaseDados_Anterior[[#This Row],[Outubro]:[Dezembro]])</f>
        <v>0</v>
      </c>
    </row>
    <row r="158" spans="1:19" x14ac:dyDescent="0.25">
      <c r="A158" s="4"/>
      <c r="C15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>
        <f>SUM(tb_BaseDados_Anterior[[#This Row],[Janeiro]:[Março]])</f>
        <v>0</v>
      </c>
      <c r="Q158" s="5">
        <f>SUM(tb_BaseDados_Anterior[[#This Row],[Abril]:[Junho]])</f>
        <v>0</v>
      </c>
      <c r="R158" s="5">
        <f>SUM(tb_BaseDados_Anterior[[#This Row],[Julho]:[Setembro]])</f>
        <v>0</v>
      </c>
      <c r="S158" s="5">
        <f>SUM(tb_BaseDados_Anterior[[#This Row],[Outubro]:[Dezembro]])</f>
        <v>0</v>
      </c>
    </row>
    <row r="159" spans="1:19" x14ac:dyDescent="0.25">
      <c r="A159" s="4"/>
      <c r="C15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>
        <f>SUM(tb_BaseDados_Anterior[[#This Row],[Janeiro]:[Março]])</f>
        <v>0</v>
      </c>
      <c r="Q159" s="5">
        <f>SUM(tb_BaseDados_Anterior[[#This Row],[Abril]:[Junho]])</f>
        <v>0</v>
      </c>
      <c r="R159" s="5">
        <f>SUM(tb_BaseDados_Anterior[[#This Row],[Julho]:[Setembro]])</f>
        <v>0</v>
      </c>
      <c r="S159" s="5">
        <f>SUM(tb_BaseDados_Anterior[[#This Row],[Outubro]:[Dezembro]])</f>
        <v>0</v>
      </c>
    </row>
    <row r="160" spans="1:19" x14ac:dyDescent="0.25">
      <c r="A160" s="4"/>
      <c r="C16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>
        <f>SUM(tb_BaseDados_Anterior[[#This Row],[Janeiro]:[Março]])</f>
        <v>0</v>
      </c>
      <c r="Q160" s="5">
        <f>SUM(tb_BaseDados_Anterior[[#This Row],[Abril]:[Junho]])</f>
        <v>0</v>
      </c>
      <c r="R160" s="5">
        <f>SUM(tb_BaseDados_Anterior[[#This Row],[Julho]:[Setembro]])</f>
        <v>0</v>
      </c>
      <c r="S160" s="5">
        <f>SUM(tb_BaseDados_Anterior[[#This Row],[Outubro]:[Dezembro]])</f>
        <v>0</v>
      </c>
    </row>
    <row r="161" spans="1:19" x14ac:dyDescent="0.25">
      <c r="A161" s="4"/>
      <c r="C16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>
        <f>SUM(tb_BaseDados_Anterior[[#This Row],[Janeiro]:[Março]])</f>
        <v>0</v>
      </c>
      <c r="Q161" s="5">
        <f>SUM(tb_BaseDados_Anterior[[#This Row],[Abril]:[Junho]])</f>
        <v>0</v>
      </c>
      <c r="R161" s="5">
        <f>SUM(tb_BaseDados_Anterior[[#This Row],[Julho]:[Setembro]])</f>
        <v>0</v>
      </c>
      <c r="S161" s="5">
        <f>SUM(tb_BaseDados_Anterior[[#This Row],[Outubro]:[Dezembro]])</f>
        <v>0</v>
      </c>
    </row>
    <row r="162" spans="1:19" x14ac:dyDescent="0.25">
      <c r="A162" s="4"/>
      <c r="C16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>
        <f>SUM(tb_BaseDados_Anterior[[#This Row],[Janeiro]:[Março]])</f>
        <v>0</v>
      </c>
      <c r="Q162" s="5">
        <f>SUM(tb_BaseDados_Anterior[[#This Row],[Abril]:[Junho]])</f>
        <v>0</v>
      </c>
      <c r="R162" s="5">
        <f>SUM(tb_BaseDados_Anterior[[#This Row],[Julho]:[Setembro]])</f>
        <v>0</v>
      </c>
      <c r="S162" s="5">
        <f>SUM(tb_BaseDados_Anterior[[#This Row],[Outubro]:[Dezembro]])</f>
        <v>0</v>
      </c>
    </row>
    <row r="163" spans="1:19" x14ac:dyDescent="0.25">
      <c r="A163" s="4"/>
      <c r="C16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>
        <f>SUM(tb_BaseDados_Anterior[[#This Row],[Janeiro]:[Março]])</f>
        <v>0</v>
      </c>
      <c r="Q163" s="5">
        <f>SUM(tb_BaseDados_Anterior[[#This Row],[Abril]:[Junho]])</f>
        <v>0</v>
      </c>
      <c r="R163" s="5">
        <f>SUM(tb_BaseDados_Anterior[[#This Row],[Julho]:[Setembro]])</f>
        <v>0</v>
      </c>
      <c r="S163" s="5">
        <f>SUM(tb_BaseDados_Anterior[[#This Row],[Outubro]:[Dezembro]])</f>
        <v>0</v>
      </c>
    </row>
    <row r="164" spans="1:19" x14ac:dyDescent="0.25">
      <c r="A164" s="4"/>
      <c r="C16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>
        <f>SUM(tb_BaseDados_Anterior[[#This Row],[Janeiro]:[Março]])</f>
        <v>0</v>
      </c>
      <c r="Q164" s="5">
        <f>SUM(tb_BaseDados_Anterior[[#This Row],[Abril]:[Junho]])</f>
        <v>0</v>
      </c>
      <c r="R164" s="5">
        <f>SUM(tb_BaseDados_Anterior[[#This Row],[Julho]:[Setembro]])</f>
        <v>0</v>
      </c>
      <c r="S164" s="5">
        <f>SUM(tb_BaseDados_Anterior[[#This Row],[Outubro]:[Dezembro]])</f>
        <v>0</v>
      </c>
    </row>
    <row r="165" spans="1:19" x14ac:dyDescent="0.25">
      <c r="A165" s="4"/>
      <c r="C16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>
        <f>SUM(tb_BaseDados_Anterior[[#This Row],[Janeiro]:[Março]])</f>
        <v>0</v>
      </c>
      <c r="Q165" s="5">
        <f>SUM(tb_BaseDados_Anterior[[#This Row],[Abril]:[Junho]])</f>
        <v>0</v>
      </c>
      <c r="R165" s="5">
        <f>SUM(tb_BaseDados_Anterior[[#This Row],[Julho]:[Setembro]])</f>
        <v>0</v>
      </c>
      <c r="S165" s="5">
        <f>SUM(tb_BaseDados_Anterior[[#This Row],[Outubro]:[Dezembro]])</f>
        <v>0</v>
      </c>
    </row>
    <row r="166" spans="1:19" x14ac:dyDescent="0.25">
      <c r="A166" s="4"/>
      <c r="C16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>
        <f>SUM(tb_BaseDados_Anterior[[#This Row],[Janeiro]:[Março]])</f>
        <v>0</v>
      </c>
      <c r="Q166" s="5">
        <f>SUM(tb_BaseDados_Anterior[[#This Row],[Abril]:[Junho]])</f>
        <v>0</v>
      </c>
      <c r="R166" s="5">
        <f>SUM(tb_BaseDados_Anterior[[#This Row],[Julho]:[Setembro]])</f>
        <v>0</v>
      </c>
      <c r="S166" s="5">
        <f>SUM(tb_BaseDados_Anterior[[#This Row],[Outubro]:[Dezembro]])</f>
        <v>0</v>
      </c>
    </row>
    <row r="167" spans="1:19" x14ac:dyDescent="0.25">
      <c r="A167" s="4"/>
      <c r="C16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>
        <f>SUM(tb_BaseDados_Anterior[[#This Row],[Janeiro]:[Março]])</f>
        <v>0</v>
      </c>
      <c r="Q167" s="5">
        <f>SUM(tb_BaseDados_Anterior[[#This Row],[Abril]:[Junho]])</f>
        <v>0</v>
      </c>
      <c r="R167" s="5">
        <f>SUM(tb_BaseDados_Anterior[[#This Row],[Julho]:[Setembro]])</f>
        <v>0</v>
      </c>
      <c r="S167" s="5">
        <f>SUM(tb_BaseDados_Anterior[[#This Row],[Outubro]:[Dezembro]])</f>
        <v>0</v>
      </c>
    </row>
    <row r="168" spans="1:19" x14ac:dyDescent="0.25">
      <c r="A168" s="4"/>
      <c r="C16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>
        <f>SUM(tb_BaseDados_Anterior[[#This Row],[Janeiro]:[Março]])</f>
        <v>0</v>
      </c>
      <c r="Q168" s="5">
        <f>SUM(tb_BaseDados_Anterior[[#This Row],[Abril]:[Junho]])</f>
        <v>0</v>
      </c>
      <c r="R168" s="5">
        <f>SUM(tb_BaseDados_Anterior[[#This Row],[Julho]:[Setembro]])</f>
        <v>0</v>
      </c>
      <c r="S168" s="5">
        <f>SUM(tb_BaseDados_Anterior[[#This Row],[Outubro]:[Dezembro]])</f>
        <v>0</v>
      </c>
    </row>
    <row r="169" spans="1:19" x14ac:dyDescent="0.25">
      <c r="A169" s="4"/>
      <c r="C16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>
        <f>SUM(tb_BaseDados_Anterior[[#This Row],[Janeiro]:[Março]])</f>
        <v>0</v>
      </c>
      <c r="Q169" s="5">
        <f>SUM(tb_BaseDados_Anterior[[#This Row],[Abril]:[Junho]])</f>
        <v>0</v>
      </c>
      <c r="R169" s="5">
        <f>SUM(tb_BaseDados_Anterior[[#This Row],[Julho]:[Setembro]])</f>
        <v>0</v>
      </c>
      <c r="S169" s="5">
        <f>SUM(tb_BaseDados_Anterior[[#This Row],[Outubro]:[Dezembro]])</f>
        <v>0</v>
      </c>
    </row>
    <row r="170" spans="1:19" x14ac:dyDescent="0.25">
      <c r="A170" s="4"/>
      <c r="C17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>
        <f>SUM(tb_BaseDados_Anterior[[#This Row],[Janeiro]:[Março]])</f>
        <v>0</v>
      </c>
      <c r="Q170" s="5">
        <f>SUM(tb_BaseDados_Anterior[[#This Row],[Abril]:[Junho]])</f>
        <v>0</v>
      </c>
      <c r="R170" s="5">
        <f>SUM(tb_BaseDados_Anterior[[#This Row],[Julho]:[Setembro]])</f>
        <v>0</v>
      </c>
      <c r="S170" s="5">
        <f>SUM(tb_BaseDados_Anterior[[#This Row],[Outubro]:[Dezembro]])</f>
        <v>0</v>
      </c>
    </row>
    <row r="171" spans="1:19" x14ac:dyDescent="0.25">
      <c r="A171" s="4"/>
      <c r="C171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>
        <f>SUM(tb_BaseDados_Anterior[[#This Row],[Janeiro]:[Março]])</f>
        <v>0</v>
      </c>
      <c r="Q171" s="5">
        <f>SUM(tb_BaseDados_Anterior[[#This Row],[Abril]:[Junho]])</f>
        <v>0</v>
      </c>
      <c r="R171" s="5">
        <f>SUM(tb_BaseDados_Anterior[[#This Row],[Julho]:[Setembro]])</f>
        <v>0</v>
      </c>
      <c r="S171" s="5">
        <f>SUM(tb_BaseDados_Anterior[[#This Row],[Outubro]:[Dezembro]])</f>
        <v>0</v>
      </c>
    </row>
    <row r="172" spans="1:19" x14ac:dyDescent="0.25">
      <c r="A172" s="4"/>
      <c r="C172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>
        <f>SUM(tb_BaseDados_Anterior[[#This Row],[Janeiro]:[Março]])</f>
        <v>0</v>
      </c>
      <c r="Q172" s="5">
        <f>SUM(tb_BaseDados_Anterior[[#This Row],[Abril]:[Junho]])</f>
        <v>0</v>
      </c>
      <c r="R172" s="5">
        <f>SUM(tb_BaseDados_Anterior[[#This Row],[Julho]:[Setembro]])</f>
        <v>0</v>
      </c>
      <c r="S172" s="5">
        <f>SUM(tb_BaseDados_Anterior[[#This Row],[Outubro]:[Dezembro]])</f>
        <v>0</v>
      </c>
    </row>
    <row r="173" spans="1:19" x14ac:dyDescent="0.25">
      <c r="A173" s="4"/>
      <c r="C173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>
        <f>SUM(tb_BaseDados_Anterior[[#This Row],[Janeiro]:[Março]])</f>
        <v>0</v>
      </c>
      <c r="Q173" s="5">
        <f>SUM(tb_BaseDados_Anterior[[#This Row],[Abril]:[Junho]])</f>
        <v>0</v>
      </c>
      <c r="R173" s="5">
        <f>SUM(tb_BaseDados_Anterior[[#This Row],[Julho]:[Setembro]])</f>
        <v>0</v>
      </c>
      <c r="S173" s="5">
        <f>SUM(tb_BaseDados_Anterior[[#This Row],[Outubro]:[Dezembro]])</f>
        <v>0</v>
      </c>
    </row>
    <row r="174" spans="1:19" x14ac:dyDescent="0.25">
      <c r="A174" s="4"/>
      <c r="C174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>
        <f>SUM(tb_BaseDados_Anterior[[#This Row],[Janeiro]:[Março]])</f>
        <v>0</v>
      </c>
      <c r="Q174" s="5">
        <f>SUM(tb_BaseDados_Anterior[[#This Row],[Abril]:[Junho]])</f>
        <v>0</v>
      </c>
      <c r="R174" s="5">
        <f>SUM(tb_BaseDados_Anterior[[#This Row],[Julho]:[Setembro]])</f>
        <v>0</v>
      </c>
      <c r="S174" s="5">
        <f>SUM(tb_BaseDados_Anterior[[#This Row],[Outubro]:[Dezembro]])</f>
        <v>0</v>
      </c>
    </row>
    <row r="175" spans="1:19" x14ac:dyDescent="0.25">
      <c r="A175" s="4"/>
      <c r="C175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>
        <f>SUM(tb_BaseDados_Anterior[[#This Row],[Janeiro]:[Março]])</f>
        <v>0</v>
      </c>
      <c r="Q175" s="5">
        <f>SUM(tb_BaseDados_Anterior[[#This Row],[Abril]:[Junho]])</f>
        <v>0</v>
      </c>
      <c r="R175" s="5">
        <f>SUM(tb_BaseDados_Anterior[[#This Row],[Julho]:[Setembro]])</f>
        <v>0</v>
      </c>
      <c r="S175" s="5">
        <f>SUM(tb_BaseDados_Anterior[[#This Row],[Outubro]:[Dezembro]])</f>
        <v>0</v>
      </c>
    </row>
    <row r="176" spans="1:19" x14ac:dyDescent="0.25">
      <c r="A176" s="4"/>
      <c r="C176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>
        <f>SUM(tb_BaseDados_Anterior[[#This Row],[Janeiro]:[Março]])</f>
        <v>0</v>
      </c>
      <c r="Q176" s="5">
        <f>SUM(tb_BaseDados_Anterior[[#This Row],[Abril]:[Junho]])</f>
        <v>0</v>
      </c>
      <c r="R176" s="5">
        <f>SUM(tb_BaseDados_Anterior[[#This Row],[Julho]:[Setembro]])</f>
        <v>0</v>
      </c>
      <c r="S176" s="5">
        <f>SUM(tb_BaseDados_Anterior[[#This Row],[Outubro]:[Dezembro]])</f>
        <v>0</v>
      </c>
    </row>
    <row r="177" spans="1:19" x14ac:dyDescent="0.25">
      <c r="A177" s="4"/>
      <c r="C177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>
        <f>SUM(tb_BaseDados_Anterior[[#This Row],[Janeiro]:[Março]])</f>
        <v>0</v>
      </c>
      <c r="Q177" s="5">
        <f>SUM(tb_BaseDados_Anterior[[#This Row],[Abril]:[Junho]])</f>
        <v>0</v>
      </c>
      <c r="R177" s="5">
        <f>SUM(tb_BaseDados_Anterior[[#This Row],[Julho]:[Setembro]])</f>
        <v>0</v>
      </c>
      <c r="S177" s="5">
        <f>SUM(tb_BaseDados_Anterior[[#This Row],[Outubro]:[Dezembro]])</f>
        <v>0</v>
      </c>
    </row>
    <row r="178" spans="1:19" x14ac:dyDescent="0.25">
      <c r="A178" s="4"/>
      <c r="C178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>
        <f>SUM(tb_BaseDados_Anterior[[#This Row],[Janeiro]:[Março]])</f>
        <v>0</v>
      </c>
      <c r="Q178" s="5">
        <f>SUM(tb_BaseDados_Anterior[[#This Row],[Abril]:[Junho]])</f>
        <v>0</v>
      </c>
      <c r="R178" s="5">
        <f>SUM(tb_BaseDados_Anterior[[#This Row],[Julho]:[Setembro]])</f>
        <v>0</v>
      </c>
      <c r="S178" s="5">
        <f>SUM(tb_BaseDados_Anterior[[#This Row],[Outubro]:[Dezembro]])</f>
        <v>0</v>
      </c>
    </row>
    <row r="179" spans="1:19" x14ac:dyDescent="0.25">
      <c r="A179" s="4"/>
      <c r="C179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>
        <f>SUM(tb_BaseDados_Anterior[[#This Row],[Janeiro]:[Março]])</f>
        <v>0</v>
      </c>
      <c r="Q179" s="5">
        <f>SUM(tb_BaseDados_Anterior[[#This Row],[Abril]:[Junho]])</f>
        <v>0</v>
      </c>
      <c r="R179" s="5">
        <f>SUM(tb_BaseDados_Anterior[[#This Row],[Julho]:[Setembro]])</f>
        <v>0</v>
      </c>
      <c r="S179" s="5">
        <f>SUM(tb_BaseDados_Anterior[[#This Row],[Outubro]:[Dezembro]])</f>
        <v>0</v>
      </c>
    </row>
    <row r="180" spans="1:19" x14ac:dyDescent="0.25">
      <c r="A180" s="4"/>
      <c r="C18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>
        <f>SUM(tb_BaseDados_Anterior[[#This Row],[Janeiro]:[Março]])</f>
        <v>0</v>
      </c>
      <c r="Q180" s="5">
        <f>SUM(tb_BaseDados_Anterior[[#This Row],[Abril]:[Junho]])</f>
        <v>0</v>
      </c>
      <c r="R180" s="5">
        <f>SUM(tb_BaseDados_Anterior[[#This Row],[Julho]:[Setembro]])</f>
        <v>0</v>
      </c>
      <c r="S180" s="5">
        <f>SUM(tb_BaseDados_Anterior[[#This Row],[Outubro]:[Dezembro]])</f>
        <v>0</v>
      </c>
    </row>
    <row r="181" spans="1:19" x14ac:dyDescent="0.25">
      <c r="A181" s="4"/>
      <c r="C18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>
        <f>SUM(tb_BaseDados_Anterior[[#This Row],[Janeiro]:[Março]])</f>
        <v>0</v>
      </c>
      <c r="Q181" s="5">
        <f>SUM(tb_BaseDados_Anterior[[#This Row],[Abril]:[Junho]])</f>
        <v>0</v>
      </c>
      <c r="R181" s="5">
        <f>SUM(tb_BaseDados_Anterior[[#This Row],[Julho]:[Setembro]])</f>
        <v>0</v>
      </c>
      <c r="S181" s="5">
        <f>SUM(tb_BaseDados_Anterior[[#This Row],[Outubro]:[Dezembro]])</f>
        <v>0</v>
      </c>
    </row>
    <row r="182" spans="1:19" x14ac:dyDescent="0.25">
      <c r="A182" s="4"/>
      <c r="C18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>
        <f>SUM(tb_BaseDados_Anterior[[#This Row],[Janeiro]:[Março]])</f>
        <v>0</v>
      </c>
      <c r="Q182" s="5">
        <f>SUM(tb_BaseDados_Anterior[[#This Row],[Abril]:[Junho]])</f>
        <v>0</v>
      </c>
      <c r="R182" s="5">
        <f>SUM(tb_BaseDados_Anterior[[#This Row],[Julho]:[Setembro]])</f>
        <v>0</v>
      </c>
      <c r="S182" s="5">
        <f>SUM(tb_BaseDados_Anterior[[#This Row],[Outubro]:[Dezembro]])</f>
        <v>0</v>
      </c>
    </row>
    <row r="183" spans="1:19" x14ac:dyDescent="0.25">
      <c r="A183" s="4"/>
      <c r="C18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>
        <f>SUM(tb_BaseDados_Anterior[[#This Row],[Janeiro]:[Março]])</f>
        <v>0</v>
      </c>
      <c r="Q183" s="5">
        <f>SUM(tb_BaseDados_Anterior[[#This Row],[Abril]:[Junho]])</f>
        <v>0</v>
      </c>
      <c r="R183" s="5">
        <f>SUM(tb_BaseDados_Anterior[[#This Row],[Julho]:[Setembro]])</f>
        <v>0</v>
      </c>
      <c r="S183" s="5">
        <f>SUM(tb_BaseDados_Anterior[[#This Row],[Outubro]:[Dezembro]])</f>
        <v>0</v>
      </c>
    </row>
    <row r="184" spans="1:19" x14ac:dyDescent="0.25">
      <c r="A184" s="4"/>
      <c r="C18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>
        <f>SUM(tb_BaseDados_Anterior[[#This Row],[Janeiro]:[Março]])</f>
        <v>0</v>
      </c>
      <c r="Q184" s="5">
        <f>SUM(tb_BaseDados_Anterior[[#This Row],[Abril]:[Junho]])</f>
        <v>0</v>
      </c>
      <c r="R184" s="5">
        <f>SUM(tb_BaseDados_Anterior[[#This Row],[Julho]:[Setembro]])</f>
        <v>0</v>
      </c>
      <c r="S184" s="5">
        <f>SUM(tb_BaseDados_Anterior[[#This Row],[Outubro]:[Dezembro]])</f>
        <v>0</v>
      </c>
    </row>
    <row r="185" spans="1:19" x14ac:dyDescent="0.25">
      <c r="A185" s="4"/>
      <c r="C18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>
        <f>SUM(tb_BaseDados_Anterior[[#This Row],[Janeiro]:[Março]])</f>
        <v>0</v>
      </c>
      <c r="Q185" s="5">
        <f>SUM(tb_BaseDados_Anterior[[#This Row],[Abril]:[Junho]])</f>
        <v>0</v>
      </c>
      <c r="R185" s="5">
        <f>SUM(tb_BaseDados_Anterior[[#This Row],[Julho]:[Setembro]])</f>
        <v>0</v>
      </c>
      <c r="S185" s="5">
        <f>SUM(tb_BaseDados_Anterior[[#This Row],[Outubro]:[Dezembro]])</f>
        <v>0</v>
      </c>
    </row>
    <row r="186" spans="1:19" x14ac:dyDescent="0.25">
      <c r="A186" s="4"/>
      <c r="C18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>
        <f>SUM(tb_BaseDados_Anterior[[#This Row],[Janeiro]:[Março]])</f>
        <v>0</v>
      </c>
      <c r="Q186" s="5">
        <f>SUM(tb_BaseDados_Anterior[[#This Row],[Abril]:[Junho]])</f>
        <v>0</v>
      </c>
      <c r="R186" s="5">
        <f>SUM(tb_BaseDados_Anterior[[#This Row],[Julho]:[Setembro]])</f>
        <v>0</v>
      </c>
      <c r="S186" s="5">
        <f>SUM(tb_BaseDados_Anterior[[#This Row],[Outubro]:[Dezembro]])</f>
        <v>0</v>
      </c>
    </row>
    <row r="187" spans="1:19" x14ac:dyDescent="0.25">
      <c r="A187" s="4"/>
      <c r="C18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>
        <f>SUM(tb_BaseDados_Anterior[[#This Row],[Janeiro]:[Março]])</f>
        <v>0</v>
      </c>
      <c r="Q187" s="5">
        <f>SUM(tb_BaseDados_Anterior[[#This Row],[Abril]:[Junho]])</f>
        <v>0</v>
      </c>
      <c r="R187" s="5">
        <f>SUM(tb_BaseDados_Anterior[[#This Row],[Julho]:[Setembro]])</f>
        <v>0</v>
      </c>
      <c r="S187" s="5">
        <f>SUM(tb_BaseDados_Anterior[[#This Row],[Outubro]:[Dezembro]])</f>
        <v>0</v>
      </c>
    </row>
    <row r="188" spans="1:19" x14ac:dyDescent="0.25">
      <c r="A188" s="4"/>
      <c r="C188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>
        <f>SUM(tb_BaseDados_Anterior[[#This Row],[Janeiro]:[Março]])</f>
        <v>0</v>
      </c>
      <c r="Q188" s="5">
        <f>SUM(tb_BaseDados_Anterior[[#This Row],[Abril]:[Junho]])</f>
        <v>0</v>
      </c>
      <c r="R188" s="5">
        <f>SUM(tb_BaseDados_Anterior[[#This Row],[Julho]:[Setembro]])</f>
        <v>0</v>
      </c>
      <c r="S188" s="5">
        <f>SUM(tb_BaseDados_Anterior[[#This Row],[Outubro]:[Dezembro]])</f>
        <v>0</v>
      </c>
    </row>
    <row r="189" spans="1:19" x14ac:dyDescent="0.25">
      <c r="A189" s="4"/>
      <c r="C189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>
        <f>SUM(tb_BaseDados_Anterior[[#This Row],[Janeiro]:[Março]])</f>
        <v>0</v>
      </c>
      <c r="Q189" s="5">
        <f>SUM(tb_BaseDados_Anterior[[#This Row],[Abril]:[Junho]])</f>
        <v>0</v>
      </c>
      <c r="R189" s="5">
        <f>SUM(tb_BaseDados_Anterior[[#This Row],[Julho]:[Setembro]])</f>
        <v>0</v>
      </c>
      <c r="S189" s="5">
        <f>SUM(tb_BaseDados_Anterior[[#This Row],[Outubro]:[Dezembro]])</f>
        <v>0</v>
      </c>
    </row>
    <row r="190" spans="1:19" x14ac:dyDescent="0.25">
      <c r="A190" s="4"/>
      <c r="C190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>
        <f>SUM(tb_BaseDados_Anterior[[#This Row],[Janeiro]:[Março]])</f>
        <v>0</v>
      </c>
      <c r="Q190" s="5">
        <f>SUM(tb_BaseDados_Anterior[[#This Row],[Abril]:[Junho]])</f>
        <v>0</v>
      </c>
      <c r="R190" s="5">
        <f>SUM(tb_BaseDados_Anterior[[#This Row],[Julho]:[Setembro]])</f>
        <v>0</v>
      </c>
      <c r="S190" s="5">
        <f>SUM(tb_BaseDados_Anterior[[#This Row],[Outubro]:[Dezembro]])</f>
        <v>0</v>
      </c>
    </row>
    <row r="191" spans="1:19" x14ac:dyDescent="0.25">
      <c r="A191" s="4"/>
      <c r="C19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>
        <f>SUM(tb_BaseDados_Anterior[[#This Row],[Janeiro]:[Março]])</f>
        <v>0</v>
      </c>
      <c r="Q191" s="5">
        <f>SUM(tb_BaseDados_Anterior[[#This Row],[Abril]:[Junho]])</f>
        <v>0</v>
      </c>
      <c r="R191" s="5">
        <f>SUM(tb_BaseDados_Anterior[[#This Row],[Julho]:[Setembro]])</f>
        <v>0</v>
      </c>
      <c r="S191" s="5">
        <f>SUM(tb_BaseDados_Anterior[[#This Row],[Outubro]:[Dezembro]])</f>
        <v>0</v>
      </c>
    </row>
    <row r="192" spans="1:19" x14ac:dyDescent="0.25">
      <c r="A192" s="4"/>
      <c r="C19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>
        <f>SUM(tb_BaseDados_Anterior[[#This Row],[Janeiro]:[Março]])</f>
        <v>0</v>
      </c>
      <c r="Q192" s="5">
        <f>SUM(tb_BaseDados_Anterior[[#This Row],[Abril]:[Junho]])</f>
        <v>0</v>
      </c>
      <c r="R192" s="5">
        <f>SUM(tb_BaseDados_Anterior[[#This Row],[Julho]:[Setembro]])</f>
        <v>0</v>
      </c>
      <c r="S192" s="5">
        <f>SUM(tb_BaseDados_Anterior[[#This Row],[Outubro]:[Dezembro]])</f>
        <v>0</v>
      </c>
    </row>
    <row r="193" spans="1:19" x14ac:dyDescent="0.25">
      <c r="A193" s="4"/>
      <c r="C19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>
        <f>SUM(tb_BaseDados_Anterior[[#This Row],[Janeiro]:[Março]])</f>
        <v>0</v>
      </c>
      <c r="Q193" s="5">
        <f>SUM(tb_BaseDados_Anterior[[#This Row],[Abril]:[Junho]])</f>
        <v>0</v>
      </c>
      <c r="R193" s="5">
        <f>SUM(tb_BaseDados_Anterior[[#This Row],[Julho]:[Setembro]])</f>
        <v>0</v>
      </c>
      <c r="S193" s="5">
        <f>SUM(tb_BaseDados_Anterior[[#This Row],[Outubro]:[Dezembro]])</f>
        <v>0</v>
      </c>
    </row>
    <row r="194" spans="1:19" x14ac:dyDescent="0.25">
      <c r="A194" s="4"/>
      <c r="C19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>
        <f>SUM(tb_BaseDados_Anterior[[#This Row],[Janeiro]:[Março]])</f>
        <v>0</v>
      </c>
      <c r="Q194" s="5">
        <f>SUM(tb_BaseDados_Anterior[[#This Row],[Abril]:[Junho]])</f>
        <v>0</v>
      </c>
      <c r="R194" s="5">
        <f>SUM(tb_BaseDados_Anterior[[#This Row],[Julho]:[Setembro]])</f>
        <v>0</v>
      </c>
      <c r="S194" s="5">
        <f>SUM(tb_BaseDados_Anterior[[#This Row],[Outubro]:[Dezembro]])</f>
        <v>0</v>
      </c>
    </row>
    <row r="195" spans="1:19" x14ac:dyDescent="0.25">
      <c r="A195" s="4"/>
      <c r="C19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>
        <f>SUM(tb_BaseDados_Anterior[[#This Row],[Janeiro]:[Março]])</f>
        <v>0</v>
      </c>
      <c r="Q195" s="5">
        <f>SUM(tb_BaseDados_Anterior[[#This Row],[Abril]:[Junho]])</f>
        <v>0</v>
      </c>
      <c r="R195" s="5">
        <f>SUM(tb_BaseDados_Anterior[[#This Row],[Julho]:[Setembro]])</f>
        <v>0</v>
      </c>
      <c r="S195" s="5">
        <f>SUM(tb_BaseDados_Anterior[[#This Row],[Outubro]:[Dezembro]])</f>
        <v>0</v>
      </c>
    </row>
    <row r="196" spans="1:19" x14ac:dyDescent="0.25">
      <c r="A196" s="4"/>
      <c r="C19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>
        <f>SUM(tb_BaseDados_Anterior[[#This Row],[Janeiro]:[Março]])</f>
        <v>0</v>
      </c>
      <c r="Q196" s="5">
        <f>SUM(tb_BaseDados_Anterior[[#This Row],[Abril]:[Junho]])</f>
        <v>0</v>
      </c>
      <c r="R196" s="5">
        <f>SUM(tb_BaseDados_Anterior[[#This Row],[Julho]:[Setembro]])</f>
        <v>0</v>
      </c>
      <c r="S196" s="5">
        <f>SUM(tb_BaseDados_Anterior[[#This Row],[Outubro]:[Dezembro]])</f>
        <v>0</v>
      </c>
    </row>
    <row r="197" spans="1:19" x14ac:dyDescent="0.25">
      <c r="A197" s="4"/>
      <c r="C19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>
        <f>SUM(tb_BaseDados_Anterior[[#This Row],[Janeiro]:[Março]])</f>
        <v>0</v>
      </c>
      <c r="Q197" s="5">
        <f>SUM(tb_BaseDados_Anterior[[#This Row],[Abril]:[Junho]])</f>
        <v>0</v>
      </c>
      <c r="R197" s="5">
        <f>SUM(tb_BaseDados_Anterior[[#This Row],[Julho]:[Setembro]])</f>
        <v>0</v>
      </c>
      <c r="S197" s="5">
        <f>SUM(tb_BaseDados_Anterior[[#This Row],[Outubro]:[Dezembro]])</f>
        <v>0</v>
      </c>
    </row>
    <row r="198" spans="1:19" x14ac:dyDescent="0.25">
      <c r="A198" s="4"/>
      <c r="C198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>
        <f>SUM(tb_BaseDados_Anterior[[#This Row],[Janeiro]:[Março]])</f>
        <v>0</v>
      </c>
      <c r="Q198" s="5">
        <f>SUM(tb_BaseDados_Anterior[[#This Row],[Abril]:[Junho]])</f>
        <v>0</v>
      </c>
      <c r="R198" s="5">
        <f>SUM(tb_BaseDados_Anterior[[#This Row],[Julho]:[Setembro]])</f>
        <v>0</v>
      </c>
      <c r="S198" s="5">
        <f>SUM(tb_BaseDados_Anterior[[#This Row],[Outubro]:[Dezembro]])</f>
        <v>0</v>
      </c>
    </row>
    <row r="199" spans="1:19" x14ac:dyDescent="0.25">
      <c r="A199" s="4"/>
      <c r="C199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>
        <f>SUM(tb_BaseDados_Anterior[[#This Row],[Janeiro]:[Março]])</f>
        <v>0</v>
      </c>
      <c r="Q199" s="5">
        <f>SUM(tb_BaseDados_Anterior[[#This Row],[Abril]:[Junho]])</f>
        <v>0</v>
      </c>
      <c r="R199" s="5">
        <f>SUM(tb_BaseDados_Anterior[[#This Row],[Julho]:[Setembro]])</f>
        <v>0</v>
      </c>
      <c r="S199" s="5">
        <f>SUM(tb_BaseDados_Anterior[[#This Row],[Outubro]:[Dezembro]])</f>
        <v>0</v>
      </c>
    </row>
    <row r="200" spans="1:19" x14ac:dyDescent="0.25">
      <c r="A200" s="4"/>
      <c r="C200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>
        <f>SUM(tb_BaseDados_Anterior[[#This Row],[Janeiro]:[Março]])</f>
        <v>0</v>
      </c>
      <c r="Q200" s="5">
        <f>SUM(tb_BaseDados_Anterior[[#This Row],[Abril]:[Junho]])</f>
        <v>0</v>
      </c>
      <c r="R200" s="5">
        <f>SUM(tb_BaseDados_Anterior[[#This Row],[Julho]:[Setembro]])</f>
        <v>0</v>
      </c>
      <c r="S200" s="5">
        <f>SUM(tb_BaseDados_Anterior[[#This Row],[Outubro]:[Dezembro]])</f>
        <v>0</v>
      </c>
    </row>
    <row r="201" spans="1:19" x14ac:dyDescent="0.25">
      <c r="A201" s="4"/>
      <c r="C20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>
        <f>SUM(tb_BaseDados_Anterior[[#This Row],[Janeiro]:[Março]])</f>
        <v>0</v>
      </c>
      <c r="Q201" s="5">
        <f>SUM(tb_BaseDados_Anterior[[#This Row],[Abril]:[Junho]])</f>
        <v>0</v>
      </c>
      <c r="R201" s="5">
        <f>SUM(tb_BaseDados_Anterior[[#This Row],[Julho]:[Setembro]])</f>
        <v>0</v>
      </c>
      <c r="S201" s="5">
        <f>SUM(tb_BaseDados_Anterior[[#This Row],[Outubro]:[Dezembro]])</f>
        <v>0</v>
      </c>
    </row>
    <row r="202" spans="1:19" x14ac:dyDescent="0.25">
      <c r="A202" s="4"/>
      <c r="C20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>
        <f>SUM(tb_BaseDados_Anterior[[#This Row],[Janeiro]:[Março]])</f>
        <v>0</v>
      </c>
      <c r="Q202" s="5">
        <f>SUM(tb_BaseDados_Anterior[[#This Row],[Abril]:[Junho]])</f>
        <v>0</v>
      </c>
      <c r="R202" s="5">
        <f>SUM(tb_BaseDados_Anterior[[#This Row],[Julho]:[Setembro]])</f>
        <v>0</v>
      </c>
      <c r="S202" s="5">
        <f>SUM(tb_BaseDados_Anterior[[#This Row],[Outubro]:[Dezembro]])</f>
        <v>0</v>
      </c>
    </row>
    <row r="203" spans="1:19" x14ac:dyDescent="0.25">
      <c r="A203" s="4"/>
      <c r="C20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>
        <f>SUM(tb_BaseDados_Anterior[[#This Row],[Janeiro]:[Março]])</f>
        <v>0</v>
      </c>
      <c r="Q203" s="5">
        <f>SUM(tb_BaseDados_Anterior[[#This Row],[Abril]:[Junho]])</f>
        <v>0</v>
      </c>
      <c r="R203" s="5">
        <f>SUM(tb_BaseDados_Anterior[[#This Row],[Julho]:[Setembro]])</f>
        <v>0</v>
      </c>
      <c r="S203" s="5">
        <f>SUM(tb_BaseDados_Anterior[[#This Row],[Outubro]:[Dezembro]])</f>
        <v>0</v>
      </c>
    </row>
    <row r="204" spans="1:19" x14ac:dyDescent="0.25">
      <c r="A204" s="4"/>
      <c r="C20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>
        <f>SUM(tb_BaseDados_Anterior[[#This Row],[Janeiro]:[Março]])</f>
        <v>0</v>
      </c>
      <c r="Q204" s="5">
        <f>SUM(tb_BaseDados_Anterior[[#This Row],[Abril]:[Junho]])</f>
        <v>0</v>
      </c>
      <c r="R204" s="5">
        <f>SUM(tb_BaseDados_Anterior[[#This Row],[Julho]:[Setembro]])</f>
        <v>0</v>
      </c>
      <c r="S204" s="5">
        <f>SUM(tb_BaseDados_Anterior[[#This Row],[Outubro]:[Dezembro]])</f>
        <v>0</v>
      </c>
    </row>
    <row r="205" spans="1:19" x14ac:dyDescent="0.25">
      <c r="A205" s="4"/>
      <c r="C20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>
        <f>SUM(tb_BaseDados_Anterior[[#This Row],[Janeiro]:[Março]])</f>
        <v>0</v>
      </c>
      <c r="Q205" s="5">
        <f>SUM(tb_BaseDados_Anterior[[#This Row],[Abril]:[Junho]])</f>
        <v>0</v>
      </c>
      <c r="R205" s="5">
        <f>SUM(tb_BaseDados_Anterior[[#This Row],[Julho]:[Setembro]])</f>
        <v>0</v>
      </c>
      <c r="S205" s="5">
        <f>SUM(tb_BaseDados_Anterior[[#This Row],[Outubro]:[Dezembro]])</f>
        <v>0</v>
      </c>
    </row>
    <row r="206" spans="1:19" x14ac:dyDescent="0.25">
      <c r="A206" s="4"/>
      <c r="C20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>
        <f>SUM(tb_BaseDados_Anterior[[#This Row],[Janeiro]:[Março]])</f>
        <v>0</v>
      </c>
      <c r="Q206" s="5">
        <f>SUM(tb_BaseDados_Anterior[[#This Row],[Abril]:[Junho]])</f>
        <v>0</v>
      </c>
      <c r="R206" s="5">
        <f>SUM(tb_BaseDados_Anterior[[#This Row],[Julho]:[Setembro]])</f>
        <v>0</v>
      </c>
      <c r="S206" s="5">
        <f>SUM(tb_BaseDados_Anterior[[#This Row],[Outubro]:[Dezembro]])</f>
        <v>0</v>
      </c>
    </row>
    <row r="207" spans="1:19" x14ac:dyDescent="0.25">
      <c r="A207" s="4"/>
      <c r="C20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>
        <f>SUM(tb_BaseDados_Anterior[[#This Row],[Janeiro]:[Março]])</f>
        <v>0</v>
      </c>
      <c r="Q207" s="5">
        <f>SUM(tb_BaseDados_Anterior[[#This Row],[Abril]:[Junho]])</f>
        <v>0</v>
      </c>
      <c r="R207" s="5">
        <f>SUM(tb_BaseDados_Anterior[[#This Row],[Julho]:[Setembro]])</f>
        <v>0</v>
      </c>
      <c r="S207" s="5">
        <f>SUM(tb_BaseDados_Anterior[[#This Row],[Outubro]:[Dezembro]])</f>
        <v>0</v>
      </c>
    </row>
    <row r="208" spans="1:19" x14ac:dyDescent="0.25">
      <c r="A208" s="4"/>
      <c r="C208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>
        <f>SUM(tb_BaseDados_Anterior[[#This Row],[Janeiro]:[Março]])</f>
        <v>0</v>
      </c>
      <c r="Q208" s="5">
        <f>SUM(tb_BaseDados_Anterior[[#This Row],[Abril]:[Junho]])</f>
        <v>0</v>
      </c>
      <c r="R208" s="5">
        <f>SUM(tb_BaseDados_Anterior[[#This Row],[Julho]:[Setembro]])</f>
        <v>0</v>
      </c>
      <c r="S208" s="5">
        <f>SUM(tb_BaseDados_Anterior[[#This Row],[Outubro]:[Dezembro]])</f>
        <v>0</v>
      </c>
    </row>
    <row r="209" spans="1:19" x14ac:dyDescent="0.25">
      <c r="A209" s="4"/>
      <c r="C209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>
        <f>SUM(tb_BaseDados_Anterior[[#This Row],[Janeiro]:[Março]])</f>
        <v>0</v>
      </c>
      <c r="Q209" s="5">
        <f>SUM(tb_BaseDados_Anterior[[#This Row],[Abril]:[Junho]])</f>
        <v>0</v>
      </c>
      <c r="R209" s="5">
        <f>SUM(tb_BaseDados_Anterior[[#This Row],[Julho]:[Setembro]])</f>
        <v>0</v>
      </c>
      <c r="S209" s="5">
        <f>SUM(tb_BaseDados_Anterior[[#This Row],[Outubro]:[Dezembro]])</f>
        <v>0</v>
      </c>
    </row>
    <row r="210" spans="1:19" x14ac:dyDescent="0.25">
      <c r="A210" s="4"/>
      <c r="C210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>
        <f>SUM(tb_BaseDados_Anterior[[#This Row],[Janeiro]:[Março]])</f>
        <v>0</v>
      </c>
      <c r="Q210" s="5">
        <f>SUM(tb_BaseDados_Anterior[[#This Row],[Abril]:[Junho]])</f>
        <v>0</v>
      </c>
      <c r="R210" s="5">
        <f>SUM(tb_BaseDados_Anterior[[#This Row],[Julho]:[Setembro]])</f>
        <v>0</v>
      </c>
      <c r="S210" s="5">
        <f>SUM(tb_BaseDados_Anterior[[#This Row],[Outubro]:[Dezembro]])</f>
        <v>0</v>
      </c>
    </row>
    <row r="211" spans="1:19" x14ac:dyDescent="0.25">
      <c r="A211" s="4"/>
      <c r="C21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>
        <f>SUM(tb_BaseDados_Anterior[[#This Row],[Janeiro]:[Março]])</f>
        <v>0</v>
      </c>
      <c r="Q211" s="5">
        <f>SUM(tb_BaseDados_Anterior[[#This Row],[Abril]:[Junho]])</f>
        <v>0</v>
      </c>
      <c r="R211" s="5">
        <f>SUM(tb_BaseDados_Anterior[[#This Row],[Julho]:[Setembro]])</f>
        <v>0</v>
      </c>
      <c r="S211" s="5">
        <f>SUM(tb_BaseDados_Anterior[[#This Row],[Outubro]:[Dezembro]])</f>
        <v>0</v>
      </c>
    </row>
    <row r="212" spans="1:19" x14ac:dyDescent="0.25">
      <c r="A212" s="4"/>
      <c r="C21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>
        <f>SUM(tb_BaseDados_Anterior[[#This Row],[Janeiro]:[Março]])</f>
        <v>0</v>
      </c>
      <c r="Q212" s="5">
        <f>SUM(tb_BaseDados_Anterior[[#This Row],[Abril]:[Junho]])</f>
        <v>0</v>
      </c>
      <c r="R212" s="5">
        <f>SUM(tb_BaseDados_Anterior[[#This Row],[Julho]:[Setembro]])</f>
        <v>0</v>
      </c>
      <c r="S212" s="5">
        <f>SUM(tb_BaseDados_Anterior[[#This Row],[Outubro]:[Dezembro]])</f>
        <v>0</v>
      </c>
    </row>
    <row r="213" spans="1:19" x14ac:dyDescent="0.25">
      <c r="A213" s="4"/>
      <c r="C21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>
        <f>SUM(tb_BaseDados_Anterior[[#This Row],[Janeiro]:[Março]])</f>
        <v>0</v>
      </c>
      <c r="Q213" s="5">
        <f>SUM(tb_BaseDados_Anterior[[#This Row],[Abril]:[Junho]])</f>
        <v>0</v>
      </c>
      <c r="R213" s="5">
        <f>SUM(tb_BaseDados_Anterior[[#This Row],[Julho]:[Setembro]])</f>
        <v>0</v>
      </c>
      <c r="S213" s="5">
        <f>SUM(tb_BaseDados_Anterior[[#This Row],[Outubro]:[Dezembro]])</f>
        <v>0</v>
      </c>
    </row>
    <row r="214" spans="1:19" x14ac:dyDescent="0.25">
      <c r="A214" s="4"/>
      <c r="C21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>
        <f>SUM(tb_BaseDados_Anterior[[#This Row],[Janeiro]:[Março]])</f>
        <v>0</v>
      </c>
      <c r="Q214" s="5">
        <f>SUM(tb_BaseDados_Anterior[[#This Row],[Abril]:[Junho]])</f>
        <v>0</v>
      </c>
      <c r="R214" s="5">
        <f>SUM(tb_BaseDados_Anterior[[#This Row],[Julho]:[Setembro]])</f>
        <v>0</v>
      </c>
      <c r="S214" s="5">
        <f>SUM(tb_BaseDados_Anterior[[#This Row],[Outubro]:[Dezembro]])</f>
        <v>0</v>
      </c>
    </row>
    <row r="215" spans="1:19" x14ac:dyDescent="0.25">
      <c r="A215" s="4"/>
      <c r="C21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>
        <f>SUM(tb_BaseDados_Anterior[[#This Row],[Janeiro]:[Março]])</f>
        <v>0</v>
      </c>
      <c r="Q215" s="5">
        <f>SUM(tb_BaseDados_Anterior[[#This Row],[Abril]:[Junho]])</f>
        <v>0</v>
      </c>
      <c r="R215" s="5">
        <f>SUM(tb_BaseDados_Anterior[[#This Row],[Julho]:[Setembro]])</f>
        <v>0</v>
      </c>
      <c r="S215" s="5">
        <f>SUM(tb_BaseDados_Anterior[[#This Row],[Outubro]:[Dezembro]])</f>
        <v>0</v>
      </c>
    </row>
    <row r="216" spans="1:19" x14ac:dyDescent="0.25">
      <c r="A216" s="4"/>
      <c r="C21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>
        <f>SUM(tb_BaseDados_Anterior[[#This Row],[Janeiro]:[Março]])</f>
        <v>0</v>
      </c>
      <c r="Q216" s="5">
        <f>SUM(tb_BaseDados_Anterior[[#This Row],[Abril]:[Junho]])</f>
        <v>0</v>
      </c>
      <c r="R216" s="5">
        <f>SUM(tb_BaseDados_Anterior[[#This Row],[Julho]:[Setembro]])</f>
        <v>0</v>
      </c>
      <c r="S216" s="5">
        <f>SUM(tb_BaseDados_Anterior[[#This Row],[Outubro]:[Dezembro]])</f>
        <v>0</v>
      </c>
    </row>
    <row r="217" spans="1:19" x14ac:dyDescent="0.25">
      <c r="A217" s="4"/>
      <c r="C21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>
        <f>SUM(tb_BaseDados_Anterior[[#This Row],[Janeiro]:[Março]])</f>
        <v>0</v>
      </c>
      <c r="Q217" s="5">
        <f>SUM(tb_BaseDados_Anterior[[#This Row],[Abril]:[Junho]])</f>
        <v>0</v>
      </c>
      <c r="R217" s="5">
        <f>SUM(tb_BaseDados_Anterior[[#This Row],[Julho]:[Setembro]])</f>
        <v>0</v>
      </c>
      <c r="S217" s="5">
        <f>SUM(tb_BaseDados_Anterior[[#This Row],[Outubro]:[Dezembro]])</f>
        <v>0</v>
      </c>
    </row>
    <row r="218" spans="1:19" x14ac:dyDescent="0.25">
      <c r="A218" s="4"/>
      <c r="C218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>
        <f>SUM(tb_BaseDados_Anterior[[#This Row],[Janeiro]:[Março]])</f>
        <v>0</v>
      </c>
      <c r="Q218" s="5">
        <f>SUM(tb_BaseDados_Anterior[[#This Row],[Abril]:[Junho]])</f>
        <v>0</v>
      </c>
      <c r="R218" s="5">
        <f>SUM(tb_BaseDados_Anterior[[#This Row],[Julho]:[Setembro]])</f>
        <v>0</v>
      </c>
      <c r="S218" s="5">
        <f>SUM(tb_BaseDados_Anterior[[#This Row],[Outubro]:[Dezembro]])</f>
        <v>0</v>
      </c>
    </row>
    <row r="219" spans="1:19" x14ac:dyDescent="0.25">
      <c r="A219" s="4"/>
      <c r="C219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>
        <f>SUM(tb_BaseDados_Anterior[[#This Row],[Janeiro]:[Março]])</f>
        <v>0</v>
      </c>
      <c r="Q219" s="5">
        <f>SUM(tb_BaseDados_Anterior[[#This Row],[Abril]:[Junho]])</f>
        <v>0</v>
      </c>
      <c r="R219" s="5">
        <f>SUM(tb_BaseDados_Anterior[[#This Row],[Julho]:[Setembro]])</f>
        <v>0</v>
      </c>
      <c r="S219" s="5">
        <f>SUM(tb_BaseDados_Anterior[[#This Row],[Outubro]:[Dezembro]])</f>
        <v>0</v>
      </c>
    </row>
    <row r="220" spans="1:19" x14ac:dyDescent="0.25">
      <c r="A220" s="4"/>
      <c r="C220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>
        <f>SUM(tb_BaseDados_Anterior[[#This Row],[Janeiro]:[Março]])</f>
        <v>0</v>
      </c>
      <c r="Q220" s="5">
        <f>SUM(tb_BaseDados_Anterior[[#This Row],[Abril]:[Junho]])</f>
        <v>0</v>
      </c>
      <c r="R220" s="5">
        <f>SUM(tb_BaseDados_Anterior[[#This Row],[Julho]:[Setembro]])</f>
        <v>0</v>
      </c>
      <c r="S220" s="5">
        <f>SUM(tb_BaseDados_Anterior[[#This Row],[Outubro]:[Dezembro]])</f>
        <v>0</v>
      </c>
    </row>
    <row r="221" spans="1:19" x14ac:dyDescent="0.25">
      <c r="A221" s="4"/>
      <c r="C22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>
        <f>SUM(tb_BaseDados_Anterior[[#This Row],[Janeiro]:[Março]])</f>
        <v>0</v>
      </c>
      <c r="Q221" s="5">
        <f>SUM(tb_BaseDados_Anterior[[#This Row],[Abril]:[Junho]])</f>
        <v>0</v>
      </c>
      <c r="R221" s="5">
        <f>SUM(tb_BaseDados_Anterior[[#This Row],[Julho]:[Setembro]])</f>
        <v>0</v>
      </c>
      <c r="S221" s="5">
        <f>SUM(tb_BaseDados_Anterior[[#This Row],[Outubro]:[Dezembro]])</f>
        <v>0</v>
      </c>
    </row>
    <row r="222" spans="1:19" x14ac:dyDescent="0.25">
      <c r="A222" s="4"/>
      <c r="C22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>
        <f>SUM(tb_BaseDados_Anterior[[#This Row],[Janeiro]:[Março]])</f>
        <v>0</v>
      </c>
      <c r="Q222" s="5">
        <f>SUM(tb_BaseDados_Anterior[[#This Row],[Abril]:[Junho]])</f>
        <v>0</v>
      </c>
      <c r="R222" s="5">
        <f>SUM(tb_BaseDados_Anterior[[#This Row],[Julho]:[Setembro]])</f>
        <v>0</v>
      </c>
      <c r="S222" s="5">
        <f>SUM(tb_BaseDados_Anterior[[#This Row],[Outubro]:[Dezembro]])</f>
        <v>0</v>
      </c>
    </row>
    <row r="223" spans="1:19" x14ac:dyDescent="0.25">
      <c r="A223" s="4"/>
      <c r="C22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>
        <f>SUM(tb_BaseDados_Anterior[[#This Row],[Janeiro]:[Março]])</f>
        <v>0</v>
      </c>
      <c r="Q223" s="5">
        <f>SUM(tb_BaseDados_Anterior[[#This Row],[Abril]:[Junho]])</f>
        <v>0</v>
      </c>
      <c r="R223" s="5">
        <f>SUM(tb_BaseDados_Anterior[[#This Row],[Julho]:[Setembro]])</f>
        <v>0</v>
      </c>
      <c r="S223" s="5">
        <f>SUM(tb_BaseDados_Anterior[[#This Row],[Outubro]:[Dezembro]])</f>
        <v>0</v>
      </c>
    </row>
    <row r="224" spans="1:19" x14ac:dyDescent="0.25">
      <c r="A224" s="4"/>
      <c r="C22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>
        <f>SUM(tb_BaseDados_Anterior[[#This Row],[Janeiro]:[Março]])</f>
        <v>0</v>
      </c>
      <c r="Q224" s="5">
        <f>SUM(tb_BaseDados_Anterior[[#This Row],[Abril]:[Junho]])</f>
        <v>0</v>
      </c>
      <c r="R224" s="5">
        <f>SUM(tb_BaseDados_Anterior[[#This Row],[Julho]:[Setembro]])</f>
        <v>0</v>
      </c>
      <c r="S224" s="5">
        <f>SUM(tb_BaseDados_Anterior[[#This Row],[Outubro]:[Dezembro]])</f>
        <v>0</v>
      </c>
    </row>
    <row r="225" spans="1:19" x14ac:dyDescent="0.25">
      <c r="A225" s="4"/>
      <c r="C22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>
        <f>SUM(tb_BaseDados_Anterior[[#This Row],[Janeiro]:[Março]])</f>
        <v>0</v>
      </c>
      <c r="Q225" s="5">
        <f>SUM(tb_BaseDados_Anterior[[#This Row],[Abril]:[Junho]])</f>
        <v>0</v>
      </c>
      <c r="R225" s="5">
        <f>SUM(tb_BaseDados_Anterior[[#This Row],[Julho]:[Setembro]])</f>
        <v>0</v>
      </c>
      <c r="S225" s="5">
        <f>SUM(tb_BaseDados_Anterior[[#This Row],[Outubro]:[Dezembro]])</f>
        <v>0</v>
      </c>
    </row>
    <row r="226" spans="1:19" x14ac:dyDescent="0.25">
      <c r="A226" s="4"/>
      <c r="C22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>
        <f>SUM(tb_BaseDados_Anterior[[#This Row],[Janeiro]:[Março]])</f>
        <v>0</v>
      </c>
      <c r="Q226" s="5">
        <f>SUM(tb_BaseDados_Anterior[[#This Row],[Abril]:[Junho]])</f>
        <v>0</v>
      </c>
      <c r="R226" s="5">
        <f>SUM(tb_BaseDados_Anterior[[#This Row],[Julho]:[Setembro]])</f>
        <v>0</v>
      </c>
      <c r="S226" s="5">
        <f>SUM(tb_BaseDados_Anterior[[#This Row],[Outubro]:[Dezembro]])</f>
        <v>0</v>
      </c>
    </row>
    <row r="227" spans="1:19" x14ac:dyDescent="0.25">
      <c r="A227" s="4"/>
      <c r="C22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>
        <f>SUM(tb_BaseDados_Anterior[[#This Row],[Janeiro]:[Março]])</f>
        <v>0</v>
      </c>
      <c r="Q227" s="5">
        <f>SUM(tb_BaseDados_Anterior[[#This Row],[Abril]:[Junho]])</f>
        <v>0</v>
      </c>
      <c r="R227" s="5">
        <f>SUM(tb_BaseDados_Anterior[[#This Row],[Julho]:[Setembro]])</f>
        <v>0</v>
      </c>
      <c r="S227" s="5">
        <f>SUM(tb_BaseDados_Anterior[[#This Row],[Outubro]:[Dezembro]])</f>
        <v>0</v>
      </c>
    </row>
    <row r="228" spans="1:19" x14ac:dyDescent="0.25">
      <c r="A228" s="4"/>
      <c r="C228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>
        <f>SUM(tb_BaseDados_Anterior[[#This Row],[Janeiro]:[Março]])</f>
        <v>0</v>
      </c>
      <c r="Q228" s="5">
        <f>SUM(tb_BaseDados_Anterior[[#This Row],[Abril]:[Junho]])</f>
        <v>0</v>
      </c>
      <c r="R228" s="5">
        <f>SUM(tb_BaseDados_Anterior[[#This Row],[Julho]:[Setembro]])</f>
        <v>0</v>
      </c>
      <c r="S228" s="5">
        <f>SUM(tb_BaseDados_Anterior[[#This Row],[Outubro]:[Dezembro]])</f>
        <v>0</v>
      </c>
    </row>
    <row r="229" spans="1:19" x14ac:dyDescent="0.25">
      <c r="A229" s="4"/>
      <c r="C229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>
        <f>SUM(tb_BaseDados_Anterior[[#This Row],[Janeiro]:[Março]])</f>
        <v>0</v>
      </c>
      <c r="Q229" s="5">
        <f>SUM(tb_BaseDados_Anterior[[#This Row],[Abril]:[Junho]])</f>
        <v>0</v>
      </c>
      <c r="R229" s="5">
        <f>SUM(tb_BaseDados_Anterior[[#This Row],[Julho]:[Setembro]])</f>
        <v>0</v>
      </c>
      <c r="S229" s="5">
        <f>SUM(tb_BaseDados_Anterior[[#This Row],[Outubro]:[Dezembro]])</f>
        <v>0</v>
      </c>
    </row>
    <row r="230" spans="1:19" x14ac:dyDescent="0.25">
      <c r="A230" s="4"/>
      <c r="C230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>
        <f>SUM(tb_BaseDados_Anterior[[#This Row],[Janeiro]:[Março]])</f>
        <v>0</v>
      </c>
      <c r="Q230" s="5">
        <f>SUM(tb_BaseDados_Anterior[[#This Row],[Abril]:[Junho]])</f>
        <v>0</v>
      </c>
      <c r="R230" s="5">
        <f>SUM(tb_BaseDados_Anterior[[#This Row],[Julho]:[Setembro]])</f>
        <v>0</v>
      </c>
      <c r="S230" s="5">
        <f>SUM(tb_BaseDados_Anterior[[#This Row],[Outubro]:[Dezembro]])</f>
        <v>0</v>
      </c>
    </row>
    <row r="231" spans="1:19" x14ac:dyDescent="0.25">
      <c r="A231" s="4"/>
      <c r="C23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>
        <f>SUM(tb_BaseDados_Anterior[[#This Row],[Janeiro]:[Março]])</f>
        <v>0</v>
      </c>
      <c r="Q231" s="5">
        <f>SUM(tb_BaseDados_Anterior[[#This Row],[Abril]:[Junho]])</f>
        <v>0</v>
      </c>
      <c r="R231" s="5">
        <f>SUM(tb_BaseDados_Anterior[[#This Row],[Julho]:[Setembro]])</f>
        <v>0</v>
      </c>
      <c r="S231" s="5">
        <f>SUM(tb_BaseDados_Anterior[[#This Row],[Outubro]:[Dezembro]])</f>
        <v>0</v>
      </c>
    </row>
    <row r="232" spans="1:19" x14ac:dyDescent="0.25">
      <c r="A232" s="4"/>
      <c r="C23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>
        <f>SUM(tb_BaseDados_Anterior[[#This Row],[Janeiro]:[Março]])</f>
        <v>0</v>
      </c>
      <c r="Q232" s="5">
        <f>SUM(tb_BaseDados_Anterior[[#This Row],[Abril]:[Junho]])</f>
        <v>0</v>
      </c>
      <c r="R232" s="5">
        <f>SUM(tb_BaseDados_Anterior[[#This Row],[Julho]:[Setembro]])</f>
        <v>0</v>
      </c>
      <c r="S232" s="5">
        <f>SUM(tb_BaseDados_Anterior[[#This Row],[Outubro]:[Dezembro]])</f>
        <v>0</v>
      </c>
    </row>
    <row r="233" spans="1:19" x14ac:dyDescent="0.25">
      <c r="A233" s="4"/>
      <c r="C23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>
        <f>SUM(tb_BaseDados_Anterior[[#This Row],[Janeiro]:[Março]])</f>
        <v>0</v>
      </c>
      <c r="Q233" s="5">
        <f>SUM(tb_BaseDados_Anterior[[#This Row],[Abril]:[Junho]])</f>
        <v>0</v>
      </c>
      <c r="R233" s="5">
        <f>SUM(tb_BaseDados_Anterior[[#This Row],[Julho]:[Setembro]])</f>
        <v>0</v>
      </c>
      <c r="S233" s="5">
        <f>SUM(tb_BaseDados_Anterior[[#This Row],[Outubro]:[Dezembro]])</f>
        <v>0</v>
      </c>
    </row>
    <row r="234" spans="1:19" x14ac:dyDescent="0.25">
      <c r="A234" s="4"/>
      <c r="C23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>
        <f>SUM(tb_BaseDados_Anterior[[#This Row],[Janeiro]:[Março]])</f>
        <v>0</v>
      </c>
      <c r="Q234" s="5">
        <f>SUM(tb_BaseDados_Anterior[[#This Row],[Abril]:[Junho]])</f>
        <v>0</v>
      </c>
      <c r="R234" s="5">
        <f>SUM(tb_BaseDados_Anterior[[#This Row],[Julho]:[Setembro]])</f>
        <v>0</v>
      </c>
      <c r="S234" s="5">
        <f>SUM(tb_BaseDados_Anterior[[#This Row],[Outubro]:[Dezembro]])</f>
        <v>0</v>
      </c>
    </row>
    <row r="235" spans="1:19" x14ac:dyDescent="0.25">
      <c r="A235" s="4"/>
      <c r="C23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>
        <f>SUM(tb_BaseDados_Anterior[[#This Row],[Janeiro]:[Março]])</f>
        <v>0</v>
      </c>
      <c r="Q235" s="5">
        <f>SUM(tb_BaseDados_Anterior[[#This Row],[Abril]:[Junho]])</f>
        <v>0</v>
      </c>
      <c r="R235" s="5">
        <f>SUM(tb_BaseDados_Anterior[[#This Row],[Julho]:[Setembro]])</f>
        <v>0</v>
      </c>
      <c r="S235" s="5">
        <f>SUM(tb_BaseDados_Anterior[[#This Row],[Outubro]:[Dezembro]])</f>
        <v>0</v>
      </c>
    </row>
    <row r="236" spans="1:19" x14ac:dyDescent="0.25">
      <c r="A236" s="4"/>
      <c r="C23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>
        <f>SUM(tb_BaseDados_Anterior[[#This Row],[Janeiro]:[Março]])</f>
        <v>0</v>
      </c>
      <c r="Q236" s="5">
        <f>SUM(tb_BaseDados_Anterior[[#This Row],[Abril]:[Junho]])</f>
        <v>0</v>
      </c>
      <c r="R236" s="5">
        <f>SUM(tb_BaseDados_Anterior[[#This Row],[Julho]:[Setembro]])</f>
        <v>0</v>
      </c>
      <c r="S236" s="5">
        <f>SUM(tb_BaseDados_Anterior[[#This Row],[Outubro]:[Dezembro]])</f>
        <v>0</v>
      </c>
    </row>
    <row r="237" spans="1:19" x14ac:dyDescent="0.25">
      <c r="A237" s="4"/>
      <c r="C23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>
        <f>SUM(tb_BaseDados_Anterior[[#This Row],[Janeiro]:[Março]])</f>
        <v>0</v>
      </c>
      <c r="Q237" s="5">
        <f>SUM(tb_BaseDados_Anterior[[#This Row],[Abril]:[Junho]])</f>
        <v>0</v>
      </c>
      <c r="R237" s="5">
        <f>SUM(tb_BaseDados_Anterior[[#This Row],[Julho]:[Setembro]])</f>
        <v>0</v>
      </c>
      <c r="S237" s="5">
        <f>SUM(tb_BaseDados_Anterior[[#This Row],[Outubro]:[Dezembro]])</f>
        <v>0</v>
      </c>
    </row>
    <row r="238" spans="1:19" x14ac:dyDescent="0.25">
      <c r="A238" s="4"/>
      <c r="C238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>
        <f>SUM(tb_BaseDados_Anterior[[#This Row],[Janeiro]:[Março]])</f>
        <v>0</v>
      </c>
      <c r="Q238" s="5">
        <f>SUM(tb_BaseDados_Anterior[[#This Row],[Abril]:[Junho]])</f>
        <v>0</v>
      </c>
      <c r="R238" s="5">
        <f>SUM(tb_BaseDados_Anterior[[#This Row],[Julho]:[Setembro]])</f>
        <v>0</v>
      </c>
      <c r="S238" s="5">
        <f>SUM(tb_BaseDados_Anterior[[#This Row],[Outubro]:[Dezembro]])</f>
        <v>0</v>
      </c>
    </row>
    <row r="239" spans="1:19" x14ac:dyDescent="0.25">
      <c r="A239" s="4"/>
      <c r="C239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>
        <f>SUM(tb_BaseDados_Anterior[[#This Row],[Janeiro]:[Março]])</f>
        <v>0</v>
      </c>
      <c r="Q239" s="5">
        <f>SUM(tb_BaseDados_Anterior[[#This Row],[Abril]:[Junho]])</f>
        <v>0</v>
      </c>
      <c r="R239" s="5">
        <f>SUM(tb_BaseDados_Anterior[[#This Row],[Julho]:[Setembro]])</f>
        <v>0</v>
      </c>
      <c r="S239" s="5">
        <f>SUM(tb_BaseDados_Anterior[[#This Row],[Outubro]:[Dezembro]])</f>
        <v>0</v>
      </c>
    </row>
    <row r="240" spans="1:19" x14ac:dyDescent="0.25">
      <c r="A240" s="4"/>
      <c r="C240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>
        <f>SUM(tb_BaseDados_Anterior[[#This Row],[Janeiro]:[Março]])</f>
        <v>0</v>
      </c>
      <c r="Q240" s="5">
        <f>SUM(tb_BaseDados_Anterior[[#This Row],[Abril]:[Junho]])</f>
        <v>0</v>
      </c>
      <c r="R240" s="5">
        <f>SUM(tb_BaseDados_Anterior[[#This Row],[Julho]:[Setembro]])</f>
        <v>0</v>
      </c>
      <c r="S240" s="5">
        <f>SUM(tb_BaseDados_Anterior[[#This Row],[Outubro]:[Dezembro]])</f>
        <v>0</v>
      </c>
    </row>
    <row r="241" spans="1:19" x14ac:dyDescent="0.25">
      <c r="A241" s="4"/>
      <c r="C241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>
        <f>SUM(tb_BaseDados_Anterior[[#This Row],[Janeiro]:[Março]])</f>
        <v>0</v>
      </c>
      <c r="Q241" s="5">
        <f>SUM(tb_BaseDados_Anterior[[#This Row],[Abril]:[Junho]])</f>
        <v>0</v>
      </c>
      <c r="R241" s="5">
        <f>SUM(tb_BaseDados_Anterior[[#This Row],[Julho]:[Setembro]])</f>
        <v>0</v>
      </c>
      <c r="S241" s="5">
        <f>SUM(tb_BaseDados_Anterior[[#This Row],[Outubro]:[Dezembro]])</f>
        <v>0</v>
      </c>
    </row>
    <row r="242" spans="1:19" x14ac:dyDescent="0.25">
      <c r="A242" s="4"/>
      <c r="C242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>
        <f>SUM(tb_BaseDados_Anterior[[#This Row],[Janeiro]:[Março]])</f>
        <v>0</v>
      </c>
      <c r="Q242" s="5">
        <f>SUM(tb_BaseDados_Anterior[[#This Row],[Abril]:[Junho]])</f>
        <v>0</v>
      </c>
      <c r="R242" s="5">
        <f>SUM(tb_BaseDados_Anterior[[#This Row],[Julho]:[Setembro]])</f>
        <v>0</v>
      </c>
      <c r="S242" s="5">
        <f>SUM(tb_BaseDados_Anterior[[#This Row],[Outubro]:[Dezembro]])</f>
        <v>0</v>
      </c>
    </row>
    <row r="243" spans="1:19" x14ac:dyDescent="0.25">
      <c r="A243" s="4"/>
      <c r="C243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>
        <f>SUM(tb_BaseDados_Anterior[[#This Row],[Janeiro]:[Março]])</f>
        <v>0</v>
      </c>
      <c r="Q243" s="5">
        <f>SUM(tb_BaseDados_Anterior[[#This Row],[Abril]:[Junho]])</f>
        <v>0</v>
      </c>
      <c r="R243" s="5">
        <f>SUM(tb_BaseDados_Anterior[[#This Row],[Julho]:[Setembro]])</f>
        <v>0</v>
      </c>
      <c r="S243" s="5">
        <f>SUM(tb_BaseDados_Anterior[[#This Row],[Outubro]:[Dezembro]])</f>
        <v>0</v>
      </c>
    </row>
    <row r="244" spans="1:19" x14ac:dyDescent="0.25">
      <c r="A244" s="4"/>
      <c r="C244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>
        <f>SUM(tb_BaseDados_Anterior[[#This Row],[Janeiro]:[Março]])</f>
        <v>0</v>
      </c>
      <c r="Q244" s="5">
        <f>SUM(tb_BaseDados_Anterior[[#This Row],[Abril]:[Junho]])</f>
        <v>0</v>
      </c>
      <c r="R244" s="5">
        <f>SUM(tb_BaseDados_Anterior[[#This Row],[Julho]:[Setembro]])</f>
        <v>0</v>
      </c>
      <c r="S244" s="5">
        <f>SUM(tb_BaseDados_Anterior[[#This Row],[Outubro]:[Dezembro]])</f>
        <v>0</v>
      </c>
    </row>
    <row r="245" spans="1:19" x14ac:dyDescent="0.25">
      <c r="A245" s="4"/>
      <c r="C245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>
        <f>SUM(tb_BaseDados_Anterior[[#This Row],[Janeiro]:[Março]])</f>
        <v>0</v>
      </c>
      <c r="Q245" s="5">
        <f>SUM(tb_BaseDados_Anterior[[#This Row],[Abril]:[Junho]])</f>
        <v>0</v>
      </c>
      <c r="R245" s="5">
        <f>SUM(tb_BaseDados_Anterior[[#This Row],[Julho]:[Setembro]])</f>
        <v>0</v>
      </c>
      <c r="S245" s="5">
        <f>SUM(tb_BaseDados_Anterior[[#This Row],[Outubro]:[Dezembro]])</f>
        <v>0</v>
      </c>
    </row>
    <row r="246" spans="1:19" x14ac:dyDescent="0.25">
      <c r="A246" s="4"/>
      <c r="C246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>
        <f>SUM(tb_BaseDados_Anterior[[#This Row],[Janeiro]:[Março]])</f>
        <v>0</v>
      </c>
      <c r="Q246" s="5">
        <f>SUM(tb_BaseDados_Anterior[[#This Row],[Abril]:[Junho]])</f>
        <v>0</v>
      </c>
      <c r="R246" s="5">
        <f>SUM(tb_BaseDados_Anterior[[#This Row],[Julho]:[Setembro]])</f>
        <v>0</v>
      </c>
      <c r="S246" s="5">
        <f>SUM(tb_BaseDados_Anterior[[#This Row],[Outubro]:[Dezembro]])</f>
        <v>0</v>
      </c>
    </row>
    <row r="247" spans="1:19" x14ac:dyDescent="0.25">
      <c r="A247" s="4"/>
      <c r="C247" s="30" t="str">
        <f>IF(NOT(ISERROR(VLOOKUP(tb_BaseDados_Anterior[[#This Row],[Conta Contábil]],tb_ClassConta[[Conta Contábil]:[Classificação]],3,FALSE))),VLOOKUP(tb_BaseDados_Anterior[[#This Row],[Conta Contábil]],tb_ClassConta[[Conta Contábil]:[Classificação]],3,FALSE),"FAVOR CLASSIFICAR!!!")</f>
        <v>FAVOR CLASSIFICAR!!!</v>
      </c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>
        <f>SUM(tb_BaseDados_Anterior[[#This Row],[Janeiro]:[Março]])</f>
        <v>0</v>
      </c>
      <c r="Q247" s="5">
        <f>SUM(tb_BaseDados_Anterior[[#This Row],[Abril]:[Junho]])</f>
        <v>0</v>
      </c>
      <c r="R247" s="5">
        <f>SUM(tb_BaseDados_Anterior[[#This Row],[Julho]:[Setembro]])</f>
        <v>0</v>
      </c>
      <c r="S247" s="5">
        <f>SUM(tb_BaseDados_Anterior[[#This Row],[Outubro]:[Dezembro]])</f>
        <v>0</v>
      </c>
    </row>
  </sheetData>
  <conditionalFormatting sqref="C2:C247">
    <cfRule type="containsText" dxfId="5" priority="2" operator="containsText" text="FAVOR CLASSIFICAR">
      <formula>NOT(ISERROR(SEARCH("FAVOR CLASSIFICAR",C2)))</formula>
    </cfRule>
    <cfRule type="containsText" dxfId="4" priority="3" operator="containsText" text="FAVOR CLASSIFICAR">
      <formula>NOT(ISERROR(SEARCH("FAVOR CLASSIFICAR",C2)))</formula>
    </cfRule>
    <cfRule type="containsText" dxfId="3" priority="4" operator="containsText" text="FAVOR CLASSIFICAR">
      <formula>NOT(ISERROR(SEARCH("FAVOR CLASSIFICAR",C2)))</formula>
    </cfRule>
    <cfRule type="containsText" dxfId="2" priority="5" operator="containsText" text="FAVOR CLASSIFICAR">
      <formula>NOT(ISERROR(SEARCH("FAVOR CLASSIFICAR",C2)))</formula>
    </cfRule>
    <cfRule type="containsText" dxfId="1" priority="6" operator="containsText" text="FAVOR CLASSIFICAR">
      <formula>NOT(ISERROR(SEARCH("FAVOR CLASSIFICAR",C2)))</formula>
    </cfRule>
    <cfRule type="containsText" dxfId="0" priority="1" operator="containsText" text="FAVOR CLASSIFICAR">
      <formula>NOT(ISERROR(SEARCH("FAVOR CLASSIFICAR",C2)))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ClassificaContaDRE">
    <tabColor theme="9" tint="0.59999389629810485"/>
  </sheetPr>
  <dimension ref="A1:S257"/>
  <sheetViews>
    <sheetView showGridLines="0" workbookViewId="0">
      <pane xSplit="3" ySplit="1" topLeftCell="M44" activePane="bottomRight" state="frozen"/>
      <selection pane="topRight" activeCell="D1" sqref="D1"/>
      <selection pane="bottomLeft" activeCell="A2" sqref="A2"/>
      <selection pane="bottomRight" activeCell="A45" sqref="A45"/>
    </sheetView>
  </sheetViews>
  <sheetFormatPr defaultRowHeight="15" x14ac:dyDescent="0.25"/>
  <cols>
    <col min="1" max="1" width="20.7109375" customWidth="1"/>
    <col min="2" max="2" width="60.7109375" customWidth="1"/>
    <col min="3" max="3" width="63.7109375" bestFit="1" customWidth="1"/>
    <col min="4" max="19" width="10.7109375" customWidth="1"/>
  </cols>
  <sheetData>
    <row r="1" spans="1:19" ht="45" customHeight="1" x14ac:dyDescent="0.25">
      <c r="A1" s="3" t="s">
        <v>186</v>
      </c>
      <c r="B1" s="3" t="s">
        <v>185</v>
      </c>
      <c r="C1" s="3" t="s">
        <v>196</v>
      </c>
      <c r="D1" s="3" t="s">
        <v>199</v>
      </c>
      <c r="E1" s="3" t="s">
        <v>200</v>
      </c>
      <c r="F1" s="3" t="s">
        <v>201</v>
      </c>
      <c r="G1" s="3" t="s">
        <v>202</v>
      </c>
      <c r="H1" s="3" t="s">
        <v>203</v>
      </c>
      <c r="I1" s="3" t="s">
        <v>204</v>
      </c>
      <c r="J1" s="3" t="s">
        <v>205</v>
      </c>
      <c r="K1" s="3" t="s">
        <v>206</v>
      </c>
      <c r="L1" s="3" t="s">
        <v>207</v>
      </c>
      <c r="M1" s="3" t="s">
        <v>208</v>
      </c>
      <c r="N1" s="3" t="s">
        <v>209</v>
      </c>
      <c r="O1" s="3" t="s">
        <v>210</v>
      </c>
      <c r="P1" s="3" t="s">
        <v>245</v>
      </c>
      <c r="Q1" s="3" t="s">
        <v>246</v>
      </c>
      <c r="R1" s="3" t="s">
        <v>247</v>
      </c>
      <c r="S1" s="3" t="s">
        <v>248</v>
      </c>
    </row>
    <row r="2" spans="1:19" x14ac:dyDescent="0.25">
      <c r="A2" s="4">
        <v>499920100</v>
      </c>
      <c r="B2" t="s">
        <v>48</v>
      </c>
      <c r="C2" t="s">
        <v>281</v>
      </c>
      <c r="D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" spans="1:19" x14ac:dyDescent="0.25">
      <c r="A3" s="4">
        <v>499910700</v>
      </c>
      <c r="B3" t="s">
        <v>47</v>
      </c>
      <c r="C3" t="s">
        <v>281</v>
      </c>
      <c r="D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" spans="1:19" x14ac:dyDescent="0.25">
      <c r="A4" s="4">
        <v>499910100</v>
      </c>
      <c r="B4" t="s">
        <v>46</v>
      </c>
      <c r="C4" t="s">
        <v>281</v>
      </c>
      <c r="D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" spans="1:19" x14ac:dyDescent="0.25">
      <c r="A5" s="4">
        <v>499610200</v>
      </c>
      <c r="B5" t="s">
        <v>45</v>
      </c>
      <c r="C5" t="s">
        <v>281</v>
      </c>
      <c r="D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" spans="1:19" x14ac:dyDescent="0.25">
      <c r="A6" s="4">
        <v>499610100</v>
      </c>
      <c r="B6" t="s">
        <v>44</v>
      </c>
      <c r="C6" t="s">
        <v>281</v>
      </c>
      <c r="D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" spans="1:19" x14ac:dyDescent="0.25">
      <c r="A7" s="4">
        <v>499510100</v>
      </c>
      <c r="B7" t="s">
        <v>24</v>
      </c>
      <c r="C7" t="s">
        <v>284</v>
      </c>
      <c r="D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" spans="1:19" x14ac:dyDescent="0.25">
      <c r="A8" s="4">
        <v>497210100</v>
      </c>
      <c r="B8" t="s">
        <v>43</v>
      </c>
      <c r="C8" t="s">
        <v>281</v>
      </c>
      <c r="D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" spans="1:19" x14ac:dyDescent="0.25">
      <c r="A9" s="4">
        <v>492140100</v>
      </c>
      <c r="B9" t="s">
        <v>42</v>
      </c>
      <c r="C9" t="s">
        <v>281</v>
      </c>
      <c r="D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" spans="1:19" x14ac:dyDescent="0.25">
      <c r="A10" s="4">
        <v>492140100</v>
      </c>
      <c r="B10" t="s">
        <v>42</v>
      </c>
      <c r="C10" t="s">
        <v>281</v>
      </c>
      <c r="D1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" spans="1:19" x14ac:dyDescent="0.25">
      <c r="A11" s="4">
        <v>491010107</v>
      </c>
      <c r="B11" t="s">
        <v>26</v>
      </c>
      <c r="C11" t="s">
        <v>281</v>
      </c>
      <c r="D1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" spans="1:19" x14ac:dyDescent="0.25">
      <c r="A12" s="4">
        <v>491010106</v>
      </c>
      <c r="B12" t="s">
        <v>25</v>
      </c>
      <c r="C12" t="s">
        <v>281</v>
      </c>
      <c r="D1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" spans="1:19" x14ac:dyDescent="0.25">
      <c r="A13" s="4">
        <v>464040100</v>
      </c>
      <c r="B13" t="s">
        <v>41</v>
      </c>
      <c r="C13" t="s">
        <v>281</v>
      </c>
      <c r="D1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" spans="1:19" x14ac:dyDescent="0.25">
      <c r="A14" s="4">
        <v>464020303</v>
      </c>
      <c r="B14" t="s">
        <v>29</v>
      </c>
      <c r="C14" t="s">
        <v>281</v>
      </c>
      <c r="D1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" spans="1:19" x14ac:dyDescent="0.25">
      <c r="A15" s="4">
        <v>464020302</v>
      </c>
      <c r="B15" t="s">
        <v>28</v>
      </c>
      <c r="C15" t="s">
        <v>281</v>
      </c>
      <c r="D1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" spans="1:19" x14ac:dyDescent="0.25">
      <c r="A16" s="4">
        <v>464020203</v>
      </c>
      <c r="B16" t="s">
        <v>32</v>
      </c>
      <c r="C16" t="s">
        <v>281</v>
      </c>
      <c r="D1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" spans="1:19" x14ac:dyDescent="0.25">
      <c r="A17" s="4">
        <v>464020100</v>
      </c>
      <c r="B17" t="s">
        <v>41</v>
      </c>
      <c r="C17" t="s">
        <v>281</v>
      </c>
      <c r="D1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" spans="1:19" x14ac:dyDescent="0.25">
      <c r="A18" s="4">
        <v>464010100</v>
      </c>
      <c r="B18" t="s">
        <v>41</v>
      </c>
      <c r="C18" t="s">
        <v>281</v>
      </c>
      <c r="D1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" spans="1:19" x14ac:dyDescent="0.25">
      <c r="A19" s="4">
        <v>463920100</v>
      </c>
      <c r="B19" t="s">
        <v>40</v>
      </c>
      <c r="C19" t="s">
        <v>281</v>
      </c>
      <c r="D1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" spans="1:19" x14ac:dyDescent="0.25">
      <c r="A20" s="4">
        <v>463910100</v>
      </c>
      <c r="B20" t="s">
        <v>40</v>
      </c>
      <c r="C20" t="s">
        <v>281</v>
      </c>
      <c r="D2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" spans="1:19" x14ac:dyDescent="0.25">
      <c r="A21" s="4">
        <v>463210100</v>
      </c>
      <c r="B21" t="s">
        <v>39</v>
      </c>
      <c r="C21" t="s">
        <v>281</v>
      </c>
      <c r="D2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" spans="1:19" x14ac:dyDescent="0.25">
      <c r="A22" s="4">
        <v>463110100</v>
      </c>
      <c r="B22" t="s">
        <v>38</v>
      </c>
      <c r="C22" t="s">
        <v>281</v>
      </c>
      <c r="D2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" spans="1:19" x14ac:dyDescent="0.25">
      <c r="A23" s="4">
        <v>462210200</v>
      </c>
      <c r="B23" t="s">
        <v>37</v>
      </c>
      <c r="C23" t="s">
        <v>281</v>
      </c>
      <c r="D2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" spans="1:19" x14ac:dyDescent="0.25">
      <c r="A24" s="4">
        <v>462210100</v>
      </c>
      <c r="B24" t="s">
        <v>36</v>
      </c>
      <c r="C24" t="s">
        <v>281</v>
      </c>
      <c r="D2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" spans="1:19" x14ac:dyDescent="0.25">
      <c r="A25" s="4">
        <v>459020100</v>
      </c>
      <c r="B25" t="s">
        <v>15</v>
      </c>
      <c r="C25" t="s">
        <v>281</v>
      </c>
      <c r="D2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6" spans="1:19" x14ac:dyDescent="0.25">
      <c r="A26" s="4">
        <v>459010100</v>
      </c>
      <c r="B26" t="s">
        <v>15</v>
      </c>
      <c r="C26" t="s">
        <v>266</v>
      </c>
      <c r="D2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7" spans="1:19" x14ac:dyDescent="0.25">
      <c r="A27" s="4">
        <v>453210100</v>
      </c>
      <c r="B27" t="s">
        <v>17</v>
      </c>
      <c r="C27" t="s">
        <v>267</v>
      </c>
      <c r="D2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8" spans="1:19" x14ac:dyDescent="0.25">
      <c r="A28" s="4">
        <v>452340100</v>
      </c>
      <c r="B28" t="s">
        <v>16</v>
      </c>
      <c r="C28" t="s">
        <v>267</v>
      </c>
      <c r="D2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9" spans="1:19" x14ac:dyDescent="0.25">
      <c r="A29" s="4">
        <v>451220500</v>
      </c>
      <c r="B29" t="s">
        <v>35</v>
      </c>
      <c r="C29" t="s">
        <v>281</v>
      </c>
      <c r="D2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0" spans="1:19" x14ac:dyDescent="0.25">
      <c r="A30" s="4">
        <v>451220400</v>
      </c>
      <c r="B30" t="s">
        <v>34</v>
      </c>
      <c r="C30" t="s">
        <v>281</v>
      </c>
      <c r="D3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1" spans="1:19" x14ac:dyDescent="0.25">
      <c r="A31" s="4">
        <v>451220300</v>
      </c>
      <c r="B31" t="s">
        <v>33</v>
      </c>
      <c r="C31" t="s">
        <v>281</v>
      </c>
      <c r="D3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2" spans="1:19" x14ac:dyDescent="0.25">
      <c r="A32" s="4">
        <v>451220200</v>
      </c>
      <c r="B32" t="s">
        <v>31</v>
      </c>
      <c r="C32" t="s">
        <v>281</v>
      </c>
      <c r="D3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3" spans="1:19" x14ac:dyDescent="0.25">
      <c r="A33" s="4">
        <v>451220100</v>
      </c>
      <c r="B33" t="s">
        <v>30</v>
      </c>
      <c r="C33" t="s">
        <v>281</v>
      </c>
      <c r="D3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4" spans="1:19" x14ac:dyDescent="0.25">
      <c r="A34" s="4">
        <v>451120503</v>
      </c>
      <c r="B34" t="s">
        <v>29</v>
      </c>
      <c r="C34" t="s">
        <v>281</v>
      </c>
      <c r="D3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5" spans="1:19" x14ac:dyDescent="0.25">
      <c r="A35" s="4">
        <v>451120502</v>
      </c>
      <c r="B35" t="s">
        <v>28</v>
      </c>
      <c r="C35" t="s">
        <v>281</v>
      </c>
      <c r="D3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6" spans="1:19" x14ac:dyDescent="0.25">
      <c r="A36" s="4">
        <v>451120300</v>
      </c>
      <c r="B36" t="s">
        <v>27</v>
      </c>
      <c r="C36" t="s">
        <v>281</v>
      </c>
      <c r="D3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7" spans="1:19" x14ac:dyDescent="0.25">
      <c r="A37" s="4">
        <v>451120200</v>
      </c>
      <c r="B37" t="s">
        <v>14</v>
      </c>
      <c r="C37" t="s">
        <v>265</v>
      </c>
      <c r="D3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8" spans="1:19" x14ac:dyDescent="0.25">
      <c r="A38" s="4">
        <v>445210100</v>
      </c>
      <c r="B38" t="s">
        <v>23</v>
      </c>
      <c r="C38" t="s">
        <v>284</v>
      </c>
      <c r="D3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39" spans="1:19" x14ac:dyDescent="0.25">
      <c r="A39" s="4">
        <v>445110100</v>
      </c>
      <c r="B39" t="s">
        <v>22</v>
      </c>
      <c r="C39" t="s">
        <v>284</v>
      </c>
      <c r="D3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3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3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3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3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3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3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3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3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3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3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3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3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3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3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3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0" spans="1:19" x14ac:dyDescent="0.25">
      <c r="A40" s="4">
        <v>443910200</v>
      </c>
      <c r="B40" t="s">
        <v>21</v>
      </c>
      <c r="C40" t="s">
        <v>284</v>
      </c>
      <c r="D4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1" spans="1:19" x14ac:dyDescent="0.25">
      <c r="A41" s="4">
        <v>443910100</v>
      </c>
      <c r="B41" t="s">
        <v>20</v>
      </c>
      <c r="C41" t="s">
        <v>284</v>
      </c>
      <c r="D4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2" spans="1:19" x14ac:dyDescent="0.25">
      <c r="A42" s="4">
        <v>442910100</v>
      </c>
      <c r="B42" t="s">
        <v>19</v>
      </c>
      <c r="C42" t="s">
        <v>284</v>
      </c>
      <c r="D4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3" spans="1:19" x14ac:dyDescent="0.25">
      <c r="A43" s="4">
        <v>442310100</v>
      </c>
      <c r="B43" t="s">
        <v>18</v>
      </c>
      <c r="C43" t="s">
        <v>284</v>
      </c>
      <c r="D4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4" spans="1:19" x14ac:dyDescent="0.25">
      <c r="A44" s="4">
        <v>433950500</v>
      </c>
      <c r="B44" t="s">
        <v>9</v>
      </c>
      <c r="C44" t="s">
        <v>243</v>
      </c>
      <c r="D44" s="32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4" s="32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4" s="32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4" s="32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4" s="32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4" s="32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4" s="32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4" s="32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4" s="32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4" s="32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4" s="32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4" s="32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4" s="32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4" s="32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4" s="32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4" s="32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5" spans="1:19" x14ac:dyDescent="0.25">
      <c r="A45" s="4">
        <v>433910900</v>
      </c>
      <c r="B45" t="s">
        <v>11</v>
      </c>
      <c r="C45" t="s">
        <v>243</v>
      </c>
      <c r="D45" s="32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5" s="32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5" s="32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5" s="32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5" s="32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5" s="32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5" s="32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5" s="32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5" s="32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5" s="32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5" s="32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5" s="32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5" s="32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5" s="32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5" s="32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5" s="32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6" spans="1:19" x14ac:dyDescent="0.25">
      <c r="A46" s="4">
        <v>433910700</v>
      </c>
      <c r="B46" t="s">
        <v>10</v>
      </c>
      <c r="C46" t="s">
        <v>243</v>
      </c>
      <c r="D46" s="32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6" s="32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6" s="32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6" s="32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6" s="32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6" s="32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6" s="32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6" s="32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6" s="32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6" s="32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6" s="32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6" s="32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6" s="32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6" s="32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6" s="32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6" s="32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7" spans="1:19" x14ac:dyDescent="0.25">
      <c r="A47" s="4">
        <v>433910500</v>
      </c>
      <c r="B47" t="s">
        <v>9</v>
      </c>
      <c r="C47" t="s">
        <v>243</v>
      </c>
      <c r="D47" s="32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7" s="32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7" s="32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7" s="32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7" s="32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7" s="32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7" s="32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7" s="32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7" s="32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7" s="32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7" s="32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7" s="32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7" s="32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7" s="32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7" s="32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7" s="32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8" spans="1:19" x14ac:dyDescent="0.25">
      <c r="A48" s="4">
        <v>433120100</v>
      </c>
      <c r="B48" t="s">
        <v>7</v>
      </c>
      <c r="C48" t="s">
        <v>244</v>
      </c>
      <c r="D4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49" spans="1:19" x14ac:dyDescent="0.25">
      <c r="A49" s="4">
        <v>433110100</v>
      </c>
      <c r="B49" t="s">
        <v>6</v>
      </c>
      <c r="C49" t="s">
        <v>244</v>
      </c>
      <c r="D4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4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4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4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4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4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4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4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4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4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4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4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4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4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4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4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0" spans="1:19" x14ac:dyDescent="0.25">
      <c r="A50" s="4">
        <v>432940600</v>
      </c>
      <c r="B50" t="s">
        <v>8</v>
      </c>
      <c r="C50" t="s">
        <v>243</v>
      </c>
      <c r="D50" s="32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0" s="32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0" s="32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0" s="32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0" s="32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0" s="32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0" s="32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0" s="32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0" s="32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0" s="32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0" s="32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0" s="32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0" s="32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0" s="32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0" s="32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0" s="32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1" spans="1:19" x14ac:dyDescent="0.25">
      <c r="A51" s="4">
        <v>432110100</v>
      </c>
      <c r="B51" t="s">
        <v>5</v>
      </c>
      <c r="C51" t="s">
        <v>244</v>
      </c>
      <c r="D5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2" spans="1:19" x14ac:dyDescent="0.25">
      <c r="A52" s="4">
        <v>431940600</v>
      </c>
      <c r="B52" t="s">
        <v>8</v>
      </c>
      <c r="C52" t="s">
        <v>243</v>
      </c>
      <c r="D52" s="32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2" s="32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2" s="32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2" s="32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2" s="32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2" s="32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2" s="32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2" s="32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2" s="32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2" s="32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2" s="32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2" s="32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2" s="32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2" s="32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2" s="32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2" s="32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3" spans="1:19" x14ac:dyDescent="0.25">
      <c r="A53" s="4">
        <v>431121500</v>
      </c>
      <c r="B53" t="s">
        <v>4</v>
      </c>
      <c r="C53" t="s">
        <v>244</v>
      </c>
      <c r="D5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4" spans="1:19" x14ac:dyDescent="0.25">
      <c r="A54" s="4">
        <v>431111500</v>
      </c>
      <c r="B54" t="s">
        <v>4</v>
      </c>
      <c r="C54" t="s">
        <v>244</v>
      </c>
      <c r="D5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5" spans="1:19" x14ac:dyDescent="0.25">
      <c r="A55" s="4">
        <v>431111400</v>
      </c>
      <c r="B55" t="s">
        <v>3</v>
      </c>
      <c r="C55" t="s">
        <v>244</v>
      </c>
      <c r="D5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6" spans="1:19" x14ac:dyDescent="0.25">
      <c r="A56" s="4">
        <v>431111200</v>
      </c>
      <c r="B56" t="s">
        <v>2</v>
      </c>
      <c r="C56" t="s">
        <v>244</v>
      </c>
      <c r="D5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7" spans="1:19" x14ac:dyDescent="0.25">
      <c r="A57" s="4">
        <v>431111100</v>
      </c>
      <c r="B57" t="s">
        <v>1</v>
      </c>
      <c r="C57" t="s">
        <v>244</v>
      </c>
      <c r="D5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8" spans="1:19" x14ac:dyDescent="0.25">
      <c r="A58" s="4">
        <v>431110100</v>
      </c>
      <c r="B58" t="s">
        <v>0</v>
      </c>
      <c r="C58" t="s">
        <v>244</v>
      </c>
      <c r="D5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59" spans="1:19" x14ac:dyDescent="0.25">
      <c r="A59" s="4">
        <v>399919900</v>
      </c>
      <c r="B59" t="s">
        <v>183</v>
      </c>
      <c r="C59" t="s">
        <v>282</v>
      </c>
      <c r="D5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5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5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5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5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5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5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5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5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5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5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5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5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5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5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5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0" spans="1:19" x14ac:dyDescent="0.25">
      <c r="A60" s="4">
        <v>399910700</v>
      </c>
      <c r="B60" t="s">
        <v>47</v>
      </c>
      <c r="C60" t="s">
        <v>282</v>
      </c>
      <c r="D6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1" spans="1:19" x14ac:dyDescent="0.25">
      <c r="A61" s="4">
        <v>399640100</v>
      </c>
      <c r="B61" t="s">
        <v>150</v>
      </c>
      <c r="C61" t="s">
        <v>269</v>
      </c>
      <c r="D6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2" spans="1:19" x14ac:dyDescent="0.25">
      <c r="A62" s="4">
        <v>399610100</v>
      </c>
      <c r="B62" t="s">
        <v>150</v>
      </c>
      <c r="C62" t="s">
        <v>269</v>
      </c>
      <c r="D6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3" spans="1:19" x14ac:dyDescent="0.25">
      <c r="A63" s="4">
        <v>397310100</v>
      </c>
      <c r="B63" t="s">
        <v>182</v>
      </c>
      <c r="C63" t="s">
        <v>282</v>
      </c>
      <c r="D6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4" spans="1:19" x14ac:dyDescent="0.25">
      <c r="A64" s="4">
        <v>394110300</v>
      </c>
      <c r="B64" t="s">
        <v>126</v>
      </c>
      <c r="C64" t="s">
        <v>269</v>
      </c>
      <c r="D6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5" spans="1:19" x14ac:dyDescent="0.25">
      <c r="A65" s="4">
        <v>394110200</v>
      </c>
      <c r="B65" t="s">
        <v>125</v>
      </c>
      <c r="C65" t="s">
        <v>269</v>
      </c>
      <c r="D6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6" spans="1:19" x14ac:dyDescent="0.25">
      <c r="A66" s="4">
        <v>394110100</v>
      </c>
      <c r="B66" t="s">
        <v>124</v>
      </c>
      <c r="C66" t="s">
        <v>269</v>
      </c>
      <c r="D6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7" spans="1:19" x14ac:dyDescent="0.25">
      <c r="A67" s="4">
        <v>392110100</v>
      </c>
      <c r="B67" t="s">
        <v>181</v>
      </c>
      <c r="C67" t="s">
        <v>282</v>
      </c>
      <c r="D6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8" spans="1:19" x14ac:dyDescent="0.25">
      <c r="A68" s="4">
        <v>391310100</v>
      </c>
      <c r="B68" t="s">
        <v>149</v>
      </c>
      <c r="C68" t="s">
        <v>269</v>
      </c>
      <c r="D6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69" spans="1:19" x14ac:dyDescent="0.25">
      <c r="A69" s="4">
        <v>382040100</v>
      </c>
      <c r="B69" t="s">
        <v>13</v>
      </c>
      <c r="C69" t="s">
        <v>264</v>
      </c>
      <c r="D6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6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6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6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6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6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6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6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6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6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6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6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6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6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6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6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0" spans="1:19" x14ac:dyDescent="0.25">
      <c r="A70" s="4">
        <v>382010100</v>
      </c>
      <c r="B70" t="s">
        <v>13</v>
      </c>
      <c r="C70" t="s">
        <v>264</v>
      </c>
      <c r="D7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1" spans="1:19" x14ac:dyDescent="0.25">
      <c r="A71" s="4">
        <v>381020100</v>
      </c>
      <c r="B71" t="s">
        <v>12</v>
      </c>
      <c r="C71" t="s">
        <v>264</v>
      </c>
      <c r="D7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2" spans="1:19" x14ac:dyDescent="0.25">
      <c r="A72" s="4">
        <v>381010100</v>
      </c>
      <c r="B72" t="s">
        <v>12</v>
      </c>
      <c r="C72" t="s">
        <v>264</v>
      </c>
      <c r="D7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3" spans="1:19" x14ac:dyDescent="0.25">
      <c r="A73" s="4">
        <v>372910100</v>
      </c>
      <c r="B73" t="s">
        <v>148</v>
      </c>
      <c r="C73" t="s">
        <v>269</v>
      </c>
      <c r="D7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4" spans="1:19" x14ac:dyDescent="0.25">
      <c r="A74" s="4">
        <v>372350100</v>
      </c>
      <c r="B74" t="s">
        <v>147</v>
      </c>
      <c r="C74" t="s">
        <v>269</v>
      </c>
      <c r="D7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5" spans="1:19" x14ac:dyDescent="0.25">
      <c r="A75" s="4">
        <v>372310100</v>
      </c>
      <c r="B75" t="s">
        <v>145</v>
      </c>
      <c r="C75" t="s">
        <v>269</v>
      </c>
      <c r="D7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6" spans="1:19" x14ac:dyDescent="0.25">
      <c r="A76" s="4">
        <v>372310100</v>
      </c>
      <c r="B76" t="s">
        <v>145</v>
      </c>
      <c r="C76" t="s">
        <v>269</v>
      </c>
      <c r="D7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7" spans="1:19" x14ac:dyDescent="0.25">
      <c r="A77" s="4">
        <v>372129900</v>
      </c>
      <c r="B77" t="s">
        <v>146</v>
      </c>
      <c r="C77" t="s">
        <v>269</v>
      </c>
      <c r="D7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8" spans="1:19" x14ac:dyDescent="0.25">
      <c r="A78" s="4">
        <v>372120500</v>
      </c>
      <c r="B78" t="s">
        <v>142</v>
      </c>
      <c r="C78" t="s">
        <v>269</v>
      </c>
      <c r="D7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79" spans="1:19" x14ac:dyDescent="0.25">
      <c r="A79" s="4">
        <v>372120400</v>
      </c>
      <c r="B79" t="s">
        <v>141</v>
      </c>
      <c r="C79" t="s">
        <v>269</v>
      </c>
      <c r="D7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7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7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7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7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7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7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7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7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7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7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7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7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7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7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7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0" spans="1:19" x14ac:dyDescent="0.25">
      <c r="A80" s="4">
        <v>372120100</v>
      </c>
      <c r="B80" t="s">
        <v>144</v>
      </c>
      <c r="C80" t="s">
        <v>269</v>
      </c>
      <c r="D8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1" spans="1:19" x14ac:dyDescent="0.25">
      <c r="A81" s="4">
        <v>372110600</v>
      </c>
      <c r="B81" t="s">
        <v>143</v>
      </c>
      <c r="C81" t="s">
        <v>269</v>
      </c>
      <c r="D8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2" spans="1:19" x14ac:dyDescent="0.25">
      <c r="A82" s="4">
        <v>372110500</v>
      </c>
      <c r="B82" t="s">
        <v>142</v>
      </c>
      <c r="C82" t="s">
        <v>269</v>
      </c>
      <c r="D8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3" spans="1:19" x14ac:dyDescent="0.25">
      <c r="A83" s="4">
        <v>372110400</v>
      </c>
      <c r="B83" t="s">
        <v>141</v>
      </c>
      <c r="C83" t="s">
        <v>269</v>
      </c>
      <c r="D8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4" spans="1:19" x14ac:dyDescent="0.25">
      <c r="A84" s="4">
        <v>371250100</v>
      </c>
      <c r="B84" t="s">
        <v>140</v>
      </c>
      <c r="C84" t="s">
        <v>269</v>
      </c>
      <c r="D8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5" spans="1:19" x14ac:dyDescent="0.25">
      <c r="A85" s="4">
        <v>371240100</v>
      </c>
      <c r="B85" t="s">
        <v>140</v>
      </c>
      <c r="C85" t="s">
        <v>269</v>
      </c>
      <c r="D8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6" spans="1:19" x14ac:dyDescent="0.25">
      <c r="A86" s="4">
        <v>371220100</v>
      </c>
      <c r="B86" t="s">
        <v>140</v>
      </c>
      <c r="C86" t="s">
        <v>269</v>
      </c>
      <c r="D8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7" spans="1:19" x14ac:dyDescent="0.25">
      <c r="A87" s="4">
        <v>371210100</v>
      </c>
      <c r="B87" t="s">
        <v>140</v>
      </c>
      <c r="C87" t="s">
        <v>269</v>
      </c>
      <c r="D8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8" spans="1:19" x14ac:dyDescent="0.25">
      <c r="A88" s="4">
        <v>371159900</v>
      </c>
      <c r="B88" t="s">
        <v>136</v>
      </c>
      <c r="C88" t="s">
        <v>269</v>
      </c>
      <c r="D8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89" spans="1:19" x14ac:dyDescent="0.25">
      <c r="A89" s="4">
        <v>371150800</v>
      </c>
      <c r="B89" t="s">
        <v>135</v>
      </c>
      <c r="C89" t="s">
        <v>269</v>
      </c>
      <c r="D8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8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8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8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8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8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8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8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8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8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8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8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8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8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8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8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0" spans="1:19" x14ac:dyDescent="0.25">
      <c r="A90" s="4">
        <v>371150200</v>
      </c>
      <c r="B90" t="s">
        <v>132</v>
      </c>
      <c r="C90" t="s">
        <v>269</v>
      </c>
      <c r="D9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1" spans="1:19" x14ac:dyDescent="0.25">
      <c r="A91" s="4">
        <v>371140700</v>
      </c>
      <c r="B91" t="s">
        <v>139</v>
      </c>
      <c r="C91" t="s">
        <v>269</v>
      </c>
      <c r="D9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2" spans="1:19" x14ac:dyDescent="0.25">
      <c r="A92" s="4">
        <v>371140500</v>
      </c>
      <c r="B92" t="s">
        <v>133</v>
      </c>
      <c r="C92" t="s">
        <v>269</v>
      </c>
      <c r="D9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3" spans="1:19" x14ac:dyDescent="0.25">
      <c r="A93" s="4">
        <v>371129900</v>
      </c>
      <c r="B93" t="s">
        <v>136</v>
      </c>
      <c r="C93" t="s">
        <v>269</v>
      </c>
      <c r="D9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4" spans="1:19" x14ac:dyDescent="0.25">
      <c r="A94" s="4">
        <v>371121000</v>
      </c>
      <c r="B94" t="s">
        <v>138</v>
      </c>
      <c r="C94" t="s">
        <v>269</v>
      </c>
      <c r="D9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5" spans="1:19" x14ac:dyDescent="0.25">
      <c r="A95" s="4">
        <v>371120600</v>
      </c>
      <c r="B95" t="s">
        <v>137</v>
      </c>
      <c r="C95" t="s">
        <v>269</v>
      </c>
      <c r="D9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6" spans="1:19" x14ac:dyDescent="0.25">
      <c r="A96" s="4">
        <v>371120100</v>
      </c>
      <c r="B96" t="s">
        <v>131</v>
      </c>
      <c r="C96" t="s">
        <v>269</v>
      </c>
      <c r="D9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7" spans="1:19" x14ac:dyDescent="0.25">
      <c r="A97" s="4">
        <v>371119900</v>
      </c>
      <c r="B97" t="s">
        <v>136</v>
      </c>
      <c r="C97" t="s">
        <v>269</v>
      </c>
      <c r="D9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8" spans="1:19" x14ac:dyDescent="0.25">
      <c r="A98" s="4">
        <v>371110800</v>
      </c>
      <c r="B98" t="s">
        <v>135</v>
      </c>
      <c r="C98" t="s">
        <v>269</v>
      </c>
      <c r="D9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99" spans="1:19" x14ac:dyDescent="0.25">
      <c r="A99" s="4">
        <v>371110700</v>
      </c>
      <c r="B99" t="s">
        <v>134</v>
      </c>
      <c r="C99" t="s">
        <v>269</v>
      </c>
      <c r="D9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9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9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9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9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9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9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9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9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9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9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9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9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9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9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9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0" spans="1:19" x14ac:dyDescent="0.25">
      <c r="A100" s="4">
        <v>371110500</v>
      </c>
      <c r="B100" t="s">
        <v>133</v>
      </c>
      <c r="C100" t="s">
        <v>269</v>
      </c>
      <c r="D10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1" spans="1:19" x14ac:dyDescent="0.25">
      <c r="A101" s="4">
        <v>371110200</v>
      </c>
      <c r="B101" t="s">
        <v>132</v>
      </c>
      <c r="C101" t="s">
        <v>269</v>
      </c>
      <c r="D10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2" spans="1:19" x14ac:dyDescent="0.25">
      <c r="A102" s="4">
        <v>371110100</v>
      </c>
      <c r="B102" t="s">
        <v>131</v>
      </c>
      <c r="C102" t="s">
        <v>269</v>
      </c>
      <c r="D10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3" spans="1:19" x14ac:dyDescent="0.25">
      <c r="A103" s="4">
        <v>365020100</v>
      </c>
      <c r="B103" t="s">
        <v>180</v>
      </c>
      <c r="C103" t="s">
        <v>282</v>
      </c>
      <c r="D10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4" spans="1:19" x14ac:dyDescent="0.25">
      <c r="A104" s="4">
        <v>365010100</v>
      </c>
      <c r="B104" t="s">
        <v>180</v>
      </c>
      <c r="C104" t="s">
        <v>282</v>
      </c>
      <c r="D10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5" spans="1:19" x14ac:dyDescent="0.25">
      <c r="A105" s="4">
        <v>364020303</v>
      </c>
      <c r="B105" t="s">
        <v>163</v>
      </c>
      <c r="C105" t="s">
        <v>282</v>
      </c>
      <c r="D10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6" spans="1:19" x14ac:dyDescent="0.25">
      <c r="A106" s="4">
        <v>364020203</v>
      </c>
      <c r="B106" t="s">
        <v>179</v>
      </c>
      <c r="C106" t="s">
        <v>282</v>
      </c>
      <c r="D10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7" spans="1:19" x14ac:dyDescent="0.25">
      <c r="A107" s="4">
        <v>364020202</v>
      </c>
      <c r="B107" t="s">
        <v>178</v>
      </c>
      <c r="C107" t="s">
        <v>282</v>
      </c>
      <c r="D10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8" spans="1:19" x14ac:dyDescent="0.25">
      <c r="A108" s="4">
        <v>364020100</v>
      </c>
      <c r="B108" t="s">
        <v>177</v>
      </c>
      <c r="C108" t="s">
        <v>282</v>
      </c>
      <c r="D10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09" spans="1:19" x14ac:dyDescent="0.25">
      <c r="A109" s="4">
        <v>364010100</v>
      </c>
      <c r="B109" t="s">
        <v>177</v>
      </c>
      <c r="C109" t="s">
        <v>282</v>
      </c>
      <c r="D10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0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0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0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0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0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0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0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0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0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0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0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0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0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0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0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0" spans="1:19" x14ac:dyDescent="0.25">
      <c r="A110" s="4">
        <v>363310100</v>
      </c>
      <c r="B110" t="s">
        <v>176</v>
      </c>
      <c r="C110" t="s">
        <v>282</v>
      </c>
      <c r="D11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1" spans="1:19" x14ac:dyDescent="0.25">
      <c r="A111" s="4">
        <v>363110100</v>
      </c>
      <c r="B111" t="s">
        <v>175</v>
      </c>
      <c r="C111" t="s">
        <v>282</v>
      </c>
      <c r="D11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2" spans="1:19" x14ac:dyDescent="0.25">
      <c r="A112" s="4">
        <v>362210200</v>
      </c>
      <c r="B112" t="s">
        <v>174</v>
      </c>
      <c r="C112" t="s">
        <v>282</v>
      </c>
      <c r="D11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3" spans="1:19" x14ac:dyDescent="0.25">
      <c r="A113" s="4">
        <v>362210100</v>
      </c>
      <c r="B113" t="s">
        <v>173</v>
      </c>
      <c r="C113" t="s">
        <v>282</v>
      </c>
      <c r="D11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4" spans="1:19" x14ac:dyDescent="0.25">
      <c r="A114" s="4">
        <v>361719800</v>
      </c>
      <c r="B114" t="s">
        <v>172</v>
      </c>
      <c r="C114" t="s">
        <v>282</v>
      </c>
      <c r="D11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5" spans="1:19" x14ac:dyDescent="0.25">
      <c r="A115" s="4">
        <v>361510100</v>
      </c>
      <c r="B115" t="s">
        <v>171</v>
      </c>
      <c r="C115" t="s">
        <v>282</v>
      </c>
      <c r="D11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6" spans="1:19" x14ac:dyDescent="0.25">
      <c r="A116" s="4">
        <v>359040100</v>
      </c>
      <c r="B116" t="s">
        <v>170</v>
      </c>
      <c r="C116" t="s">
        <v>282</v>
      </c>
      <c r="D11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7" spans="1:19" x14ac:dyDescent="0.25">
      <c r="A117" s="4">
        <v>359020100</v>
      </c>
      <c r="B117" t="s">
        <v>169</v>
      </c>
      <c r="C117" t="s">
        <v>282</v>
      </c>
      <c r="D11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8" spans="1:19" x14ac:dyDescent="0.25">
      <c r="A118" s="4">
        <v>359010100</v>
      </c>
      <c r="B118" t="s">
        <v>168</v>
      </c>
      <c r="C118" t="s">
        <v>282</v>
      </c>
      <c r="D11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19" spans="1:19" x14ac:dyDescent="0.25">
      <c r="A119" s="4">
        <v>352310100</v>
      </c>
      <c r="B119" t="s">
        <v>16</v>
      </c>
      <c r="C119" t="s">
        <v>282</v>
      </c>
      <c r="D11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1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1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1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1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1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1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1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1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1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1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1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1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1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1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1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0" spans="1:19" x14ac:dyDescent="0.25">
      <c r="A120" s="4">
        <v>351220500</v>
      </c>
      <c r="B120" t="s">
        <v>167</v>
      </c>
      <c r="C120" t="s">
        <v>282</v>
      </c>
      <c r="D12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1" spans="1:19" x14ac:dyDescent="0.25">
      <c r="A121" s="4">
        <v>351220400</v>
      </c>
      <c r="B121" t="s">
        <v>34</v>
      </c>
      <c r="C121" t="s">
        <v>282</v>
      </c>
      <c r="D12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2" spans="1:19" x14ac:dyDescent="0.25">
      <c r="A122" s="4">
        <v>351220300</v>
      </c>
      <c r="B122" t="s">
        <v>166</v>
      </c>
      <c r="C122" t="s">
        <v>282</v>
      </c>
      <c r="D12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3" spans="1:19" x14ac:dyDescent="0.25">
      <c r="A123" s="4">
        <v>351220200</v>
      </c>
      <c r="B123" t="s">
        <v>165</v>
      </c>
      <c r="C123" t="s">
        <v>282</v>
      </c>
      <c r="D12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4" spans="1:19" x14ac:dyDescent="0.25">
      <c r="A124" s="4">
        <v>351220100</v>
      </c>
      <c r="B124" t="s">
        <v>164</v>
      </c>
      <c r="C124" t="s">
        <v>282</v>
      </c>
      <c r="D12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5" spans="1:19" x14ac:dyDescent="0.25">
      <c r="A125" s="4">
        <v>351120503</v>
      </c>
      <c r="B125" t="s">
        <v>163</v>
      </c>
      <c r="C125" t="s">
        <v>282</v>
      </c>
      <c r="D12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6" spans="1:19" x14ac:dyDescent="0.25">
      <c r="A126" s="4">
        <v>351120300</v>
      </c>
      <c r="B126" t="s">
        <v>162</v>
      </c>
      <c r="C126" t="s">
        <v>282</v>
      </c>
      <c r="D12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7" spans="1:19" x14ac:dyDescent="0.25">
      <c r="A127" s="4">
        <v>351120200</v>
      </c>
      <c r="B127" t="s">
        <v>161</v>
      </c>
      <c r="C127" t="s">
        <v>282</v>
      </c>
      <c r="D12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8" spans="1:19" x14ac:dyDescent="0.25">
      <c r="A128" s="4">
        <v>349920100</v>
      </c>
      <c r="B128" t="s">
        <v>160</v>
      </c>
      <c r="C128" t="s">
        <v>271</v>
      </c>
      <c r="D12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29" spans="1:19" x14ac:dyDescent="0.25">
      <c r="A129" s="4">
        <v>344010100</v>
      </c>
      <c r="B129" t="s">
        <v>159</v>
      </c>
      <c r="C129" t="s">
        <v>271</v>
      </c>
      <c r="D12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2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2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2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2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2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2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2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2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2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2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2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2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2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2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2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0" spans="1:19" x14ac:dyDescent="0.25">
      <c r="A130" s="4">
        <v>343920101</v>
      </c>
      <c r="B130" t="s">
        <v>158</v>
      </c>
      <c r="C130" t="s">
        <v>271</v>
      </c>
      <c r="D13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1" spans="1:19" x14ac:dyDescent="0.25">
      <c r="A131" s="4">
        <v>343910200</v>
      </c>
      <c r="B131" t="s">
        <v>21</v>
      </c>
      <c r="C131" t="s">
        <v>271</v>
      </c>
      <c r="D13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2" spans="1:19" x14ac:dyDescent="0.25">
      <c r="A132" s="4">
        <v>343910103</v>
      </c>
      <c r="B132" t="s">
        <v>157</v>
      </c>
      <c r="C132" t="s">
        <v>271</v>
      </c>
      <c r="D13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3" spans="1:19" x14ac:dyDescent="0.25">
      <c r="A133" s="4">
        <v>343910101</v>
      </c>
      <c r="B133" t="s">
        <v>156</v>
      </c>
      <c r="C133" t="s">
        <v>271</v>
      </c>
      <c r="D13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4" spans="1:19" x14ac:dyDescent="0.25">
      <c r="A134" s="4">
        <v>342450200</v>
      </c>
      <c r="B134" t="s">
        <v>152</v>
      </c>
      <c r="C134" t="s">
        <v>271</v>
      </c>
      <c r="D13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5" spans="1:19" x14ac:dyDescent="0.25">
      <c r="A135" s="4">
        <v>342450100</v>
      </c>
      <c r="B135" t="s">
        <v>155</v>
      </c>
      <c r="C135" t="s">
        <v>271</v>
      </c>
      <c r="D13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6" spans="1:19" x14ac:dyDescent="0.25">
      <c r="A136" s="4">
        <v>342440300</v>
      </c>
      <c r="B136" t="s">
        <v>153</v>
      </c>
      <c r="C136" t="s">
        <v>271</v>
      </c>
      <c r="D13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7" spans="1:19" x14ac:dyDescent="0.25">
      <c r="A137" s="4">
        <v>342440200</v>
      </c>
      <c r="B137" t="s">
        <v>152</v>
      </c>
      <c r="C137" t="s">
        <v>271</v>
      </c>
      <c r="D13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8" spans="1:19" x14ac:dyDescent="0.25">
      <c r="A138" s="4">
        <v>342440100</v>
      </c>
      <c r="B138" t="s">
        <v>155</v>
      </c>
      <c r="C138" t="s">
        <v>271</v>
      </c>
      <c r="D13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39" spans="1:19" x14ac:dyDescent="0.25">
      <c r="A139" s="4">
        <v>342420300</v>
      </c>
      <c r="B139" t="s">
        <v>153</v>
      </c>
      <c r="C139" t="s">
        <v>271</v>
      </c>
      <c r="D13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3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3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3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3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3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3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3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3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3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3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3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3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3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3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3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0" spans="1:19" x14ac:dyDescent="0.25">
      <c r="A140" s="4">
        <v>342420200</v>
      </c>
      <c r="B140" t="s">
        <v>152</v>
      </c>
      <c r="C140" t="s">
        <v>271</v>
      </c>
      <c r="D14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1" spans="1:19" x14ac:dyDescent="0.25">
      <c r="A141" s="4">
        <v>342420100</v>
      </c>
      <c r="B141" t="s">
        <v>155</v>
      </c>
      <c r="C141" t="s">
        <v>271</v>
      </c>
      <c r="D14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2" spans="1:19" x14ac:dyDescent="0.25">
      <c r="A142" s="4">
        <v>342410200</v>
      </c>
      <c r="B142" t="s">
        <v>152</v>
      </c>
      <c r="C142" t="s">
        <v>271</v>
      </c>
      <c r="D14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3" spans="1:19" x14ac:dyDescent="0.25">
      <c r="A143" s="4">
        <v>342410100</v>
      </c>
      <c r="B143" t="s">
        <v>155</v>
      </c>
      <c r="C143" t="s">
        <v>271</v>
      </c>
      <c r="D14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4" spans="1:19" x14ac:dyDescent="0.25">
      <c r="A144" s="4">
        <v>342350300</v>
      </c>
      <c r="B144" t="s">
        <v>153</v>
      </c>
      <c r="C144" t="s">
        <v>271</v>
      </c>
      <c r="D14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5" spans="1:19" x14ac:dyDescent="0.25">
      <c r="A145" s="4">
        <v>342350200</v>
      </c>
      <c r="B145" t="s">
        <v>152</v>
      </c>
      <c r="C145" t="s">
        <v>271</v>
      </c>
      <c r="D14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6" spans="1:19" x14ac:dyDescent="0.25">
      <c r="A146" s="4">
        <v>342350100</v>
      </c>
      <c r="B146" t="s">
        <v>151</v>
      </c>
      <c r="C146" t="s">
        <v>271</v>
      </c>
      <c r="D14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7" spans="1:19" x14ac:dyDescent="0.25">
      <c r="A147" s="4">
        <v>342340300</v>
      </c>
      <c r="B147" t="s">
        <v>153</v>
      </c>
      <c r="C147" t="s">
        <v>271</v>
      </c>
      <c r="D14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8" spans="1:19" x14ac:dyDescent="0.25">
      <c r="A148" s="4">
        <v>342340200</v>
      </c>
      <c r="B148" t="s">
        <v>152</v>
      </c>
      <c r="C148" t="s">
        <v>271</v>
      </c>
      <c r="D14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49" spans="1:19" x14ac:dyDescent="0.25">
      <c r="A149" s="4">
        <v>342340100</v>
      </c>
      <c r="B149" t="s">
        <v>151</v>
      </c>
      <c r="C149" t="s">
        <v>271</v>
      </c>
      <c r="D14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4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4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4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4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4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4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4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4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4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4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4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4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4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4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4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0" spans="1:19" x14ac:dyDescent="0.25">
      <c r="A150" s="4">
        <v>342320300</v>
      </c>
      <c r="B150" t="s">
        <v>153</v>
      </c>
      <c r="C150" t="s">
        <v>271</v>
      </c>
      <c r="D15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1" spans="1:19" x14ac:dyDescent="0.25">
      <c r="A151" s="4">
        <v>342320200</v>
      </c>
      <c r="B151" t="s">
        <v>152</v>
      </c>
      <c r="C151" t="s">
        <v>271</v>
      </c>
      <c r="D15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2" spans="1:19" x14ac:dyDescent="0.25">
      <c r="A152" s="4">
        <v>342320100</v>
      </c>
      <c r="B152" t="s">
        <v>151</v>
      </c>
      <c r="C152" t="s">
        <v>271</v>
      </c>
      <c r="D15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3" spans="1:19" x14ac:dyDescent="0.25">
      <c r="A153" s="4">
        <v>342319900</v>
      </c>
      <c r="B153" t="s">
        <v>154</v>
      </c>
      <c r="C153" t="s">
        <v>271</v>
      </c>
      <c r="D15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4" spans="1:19" x14ac:dyDescent="0.25">
      <c r="A154" s="4">
        <v>342310300</v>
      </c>
      <c r="B154" t="s">
        <v>153</v>
      </c>
      <c r="C154" t="s">
        <v>271</v>
      </c>
      <c r="D15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5" spans="1:19" x14ac:dyDescent="0.25">
      <c r="A155" s="4">
        <v>342310200</v>
      </c>
      <c r="B155" t="s">
        <v>152</v>
      </c>
      <c r="C155" t="s">
        <v>271</v>
      </c>
      <c r="D15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6" spans="1:19" x14ac:dyDescent="0.25">
      <c r="A156" s="4">
        <v>342310100</v>
      </c>
      <c r="B156" t="s">
        <v>151</v>
      </c>
      <c r="C156" t="s">
        <v>271</v>
      </c>
      <c r="D15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7" spans="1:19" x14ac:dyDescent="0.25">
      <c r="A157" s="4">
        <v>333210200</v>
      </c>
      <c r="B157" t="s">
        <v>130</v>
      </c>
      <c r="C157" t="s">
        <v>269</v>
      </c>
      <c r="D15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8" spans="1:19" x14ac:dyDescent="0.25">
      <c r="A158" s="4">
        <v>333210100</v>
      </c>
      <c r="B158" t="s">
        <v>129</v>
      </c>
      <c r="C158" t="s">
        <v>269</v>
      </c>
      <c r="D15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59" spans="1:19" x14ac:dyDescent="0.25">
      <c r="A159" s="4">
        <v>333110200</v>
      </c>
      <c r="B159" t="s">
        <v>128</v>
      </c>
      <c r="C159" t="s">
        <v>269</v>
      </c>
      <c r="D15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5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5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5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5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5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5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5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5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5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5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5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5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5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5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5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0" spans="1:19" x14ac:dyDescent="0.25">
      <c r="A160" s="4">
        <v>333110100</v>
      </c>
      <c r="B160" t="s">
        <v>127</v>
      </c>
      <c r="C160" t="s">
        <v>269</v>
      </c>
      <c r="D16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1" spans="1:19" x14ac:dyDescent="0.25">
      <c r="A161" s="4">
        <v>332351100</v>
      </c>
      <c r="B161" t="s">
        <v>123</v>
      </c>
      <c r="C161" t="s">
        <v>269</v>
      </c>
      <c r="D16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2" spans="1:19" x14ac:dyDescent="0.25">
      <c r="A162" s="4">
        <v>332350800</v>
      </c>
      <c r="B162" t="s">
        <v>122</v>
      </c>
      <c r="C162" t="s">
        <v>269</v>
      </c>
      <c r="D16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3" spans="1:19" x14ac:dyDescent="0.25">
      <c r="A163" s="4">
        <v>332350500</v>
      </c>
      <c r="B163" t="s">
        <v>121</v>
      </c>
      <c r="C163" t="s">
        <v>269</v>
      </c>
      <c r="D16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4" spans="1:19" x14ac:dyDescent="0.25">
      <c r="A164" s="4">
        <v>332350400</v>
      </c>
      <c r="B164" t="s">
        <v>120</v>
      </c>
      <c r="C164" t="s">
        <v>269</v>
      </c>
      <c r="D16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5" spans="1:19" x14ac:dyDescent="0.25">
      <c r="A165" s="4">
        <v>332350300</v>
      </c>
      <c r="B165" t="s">
        <v>119</v>
      </c>
      <c r="C165" t="s">
        <v>269</v>
      </c>
      <c r="D16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6" spans="1:19" x14ac:dyDescent="0.25">
      <c r="A166" s="4">
        <v>332350200</v>
      </c>
      <c r="B166" t="s">
        <v>118</v>
      </c>
      <c r="C166" t="s">
        <v>269</v>
      </c>
      <c r="D16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7" spans="1:19" x14ac:dyDescent="0.25">
      <c r="A167" s="4">
        <v>332350100</v>
      </c>
      <c r="B167" t="s">
        <v>117</v>
      </c>
      <c r="C167" t="s">
        <v>269</v>
      </c>
      <c r="D16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8" spans="1:19" x14ac:dyDescent="0.25">
      <c r="A168" s="4">
        <v>332341300</v>
      </c>
      <c r="B168" t="s">
        <v>97</v>
      </c>
      <c r="C168" t="s">
        <v>269</v>
      </c>
      <c r="D16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69" spans="1:19" x14ac:dyDescent="0.25">
      <c r="A169" s="4">
        <v>332341100</v>
      </c>
      <c r="B169" t="s">
        <v>116</v>
      </c>
      <c r="C169" t="s">
        <v>269</v>
      </c>
      <c r="D16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6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6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6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6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6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6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6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6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6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6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6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6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6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6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6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0" spans="1:19" x14ac:dyDescent="0.25">
      <c r="A170" s="4">
        <v>332341000</v>
      </c>
      <c r="B170" t="s">
        <v>115</v>
      </c>
      <c r="C170" t="s">
        <v>269</v>
      </c>
      <c r="D17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1" spans="1:19" x14ac:dyDescent="0.25">
      <c r="A171" s="4">
        <v>332340800</v>
      </c>
      <c r="B171" t="s">
        <v>114</v>
      </c>
      <c r="C171" t="s">
        <v>269</v>
      </c>
      <c r="D17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2" spans="1:19" x14ac:dyDescent="0.25">
      <c r="A172" s="4">
        <v>332340500</v>
      </c>
      <c r="B172" t="s">
        <v>113</v>
      </c>
      <c r="C172" t="s">
        <v>269</v>
      </c>
      <c r="D17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3" spans="1:19" x14ac:dyDescent="0.25">
      <c r="A173" s="4">
        <v>332340400</v>
      </c>
      <c r="B173" t="s">
        <v>112</v>
      </c>
      <c r="C173" t="s">
        <v>269</v>
      </c>
      <c r="D17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4" spans="1:19" x14ac:dyDescent="0.25">
      <c r="A174" s="4">
        <v>332340300</v>
      </c>
      <c r="B174" t="s">
        <v>111</v>
      </c>
      <c r="C174" t="s">
        <v>269</v>
      </c>
      <c r="D17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5" spans="1:19" x14ac:dyDescent="0.25">
      <c r="A175" s="4">
        <v>332340200</v>
      </c>
      <c r="B175" t="s">
        <v>110</v>
      </c>
      <c r="C175" t="s">
        <v>269</v>
      </c>
      <c r="D17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6" spans="1:19" x14ac:dyDescent="0.25">
      <c r="A176" s="4">
        <v>332340100</v>
      </c>
      <c r="B176" t="s">
        <v>109</v>
      </c>
      <c r="C176" t="s">
        <v>269</v>
      </c>
      <c r="D17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7" spans="1:19" x14ac:dyDescent="0.25">
      <c r="A177" s="4">
        <v>332321100</v>
      </c>
      <c r="B177" t="s">
        <v>108</v>
      </c>
      <c r="C177" t="s">
        <v>269</v>
      </c>
      <c r="D17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8" spans="1:19" x14ac:dyDescent="0.25">
      <c r="A178" s="4">
        <v>332321000</v>
      </c>
      <c r="B178" t="s">
        <v>107</v>
      </c>
      <c r="C178" t="s">
        <v>269</v>
      </c>
      <c r="D17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79" spans="1:19" x14ac:dyDescent="0.25">
      <c r="A179" s="4">
        <v>332320900</v>
      </c>
      <c r="B179" t="s">
        <v>106</v>
      </c>
      <c r="C179" t="s">
        <v>269</v>
      </c>
      <c r="D17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7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7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7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7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7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7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7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7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7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7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7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7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7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7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7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0" spans="1:19" x14ac:dyDescent="0.25">
      <c r="A180" s="4">
        <v>332320800</v>
      </c>
      <c r="B180" t="s">
        <v>105</v>
      </c>
      <c r="C180" t="s">
        <v>269</v>
      </c>
      <c r="D18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1" spans="1:19" x14ac:dyDescent="0.25">
      <c r="A181" s="4">
        <v>332320500</v>
      </c>
      <c r="B181" t="s">
        <v>104</v>
      </c>
      <c r="C181" t="s">
        <v>269</v>
      </c>
      <c r="D18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2" spans="1:19" x14ac:dyDescent="0.25">
      <c r="A182" s="4">
        <v>332320400</v>
      </c>
      <c r="B182" t="s">
        <v>103</v>
      </c>
      <c r="C182" t="s">
        <v>269</v>
      </c>
      <c r="D18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3" spans="1:19" x14ac:dyDescent="0.25">
      <c r="A183" s="4">
        <v>332320300</v>
      </c>
      <c r="B183" t="s">
        <v>102</v>
      </c>
      <c r="C183" t="s">
        <v>269</v>
      </c>
      <c r="D18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4" spans="1:19" x14ac:dyDescent="0.25">
      <c r="A184" s="4">
        <v>332320200</v>
      </c>
      <c r="B184" t="s">
        <v>101</v>
      </c>
      <c r="C184" t="s">
        <v>269</v>
      </c>
      <c r="D18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5" spans="1:19" x14ac:dyDescent="0.25">
      <c r="A185" s="4">
        <v>332320100</v>
      </c>
      <c r="B185" t="s">
        <v>100</v>
      </c>
      <c r="C185" t="s">
        <v>269</v>
      </c>
      <c r="D18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6" spans="1:19" x14ac:dyDescent="0.25">
      <c r="A186" s="4">
        <v>332319900</v>
      </c>
      <c r="B186" t="s">
        <v>99</v>
      </c>
      <c r="C186" t="s">
        <v>269</v>
      </c>
      <c r="D18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7" spans="1:19" x14ac:dyDescent="0.25">
      <c r="A187" s="4">
        <v>332311400</v>
      </c>
      <c r="B187" t="s">
        <v>98</v>
      </c>
      <c r="C187" t="s">
        <v>269</v>
      </c>
      <c r="D18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8" spans="1:19" x14ac:dyDescent="0.25">
      <c r="A188" s="4">
        <v>332311300</v>
      </c>
      <c r="B188" t="s">
        <v>97</v>
      </c>
      <c r="C188" t="s">
        <v>269</v>
      </c>
      <c r="D18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89" spans="1:19" x14ac:dyDescent="0.25">
      <c r="A189" s="4">
        <v>332311200</v>
      </c>
      <c r="B189" t="s">
        <v>96</v>
      </c>
      <c r="C189" t="s">
        <v>269</v>
      </c>
      <c r="D18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8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8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8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8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8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8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8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8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8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8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8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8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8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8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8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0" spans="1:19" x14ac:dyDescent="0.25">
      <c r="A190" s="4">
        <v>332311100</v>
      </c>
      <c r="B190" t="s">
        <v>95</v>
      </c>
      <c r="C190" t="s">
        <v>269</v>
      </c>
      <c r="D19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1" spans="1:19" x14ac:dyDescent="0.25">
      <c r="A191" s="4">
        <v>332311000</v>
      </c>
      <c r="B191" t="s">
        <v>94</v>
      </c>
      <c r="C191" t="s">
        <v>269</v>
      </c>
      <c r="D19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2" spans="1:19" x14ac:dyDescent="0.25">
      <c r="A192" s="4">
        <v>332310900</v>
      </c>
      <c r="B192" t="s">
        <v>93</v>
      </c>
      <c r="C192" t="s">
        <v>269</v>
      </c>
      <c r="D19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3" spans="1:19" x14ac:dyDescent="0.25">
      <c r="A193" s="4">
        <v>332310800</v>
      </c>
      <c r="B193" t="s">
        <v>92</v>
      </c>
      <c r="C193" t="s">
        <v>269</v>
      </c>
      <c r="D19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4" spans="1:19" x14ac:dyDescent="0.25">
      <c r="A194" s="4">
        <v>332310700</v>
      </c>
      <c r="B194" t="s">
        <v>91</v>
      </c>
      <c r="C194" t="s">
        <v>269</v>
      </c>
      <c r="D19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5" spans="1:19" x14ac:dyDescent="0.25">
      <c r="A195" s="4">
        <v>332310600</v>
      </c>
      <c r="B195" t="s">
        <v>90</v>
      </c>
      <c r="C195" t="s">
        <v>269</v>
      </c>
      <c r="D19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6" spans="1:19" x14ac:dyDescent="0.25">
      <c r="A196" s="4">
        <v>332310500</v>
      </c>
      <c r="B196" t="s">
        <v>89</v>
      </c>
      <c r="C196" t="s">
        <v>269</v>
      </c>
      <c r="D19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7" spans="1:19" x14ac:dyDescent="0.25">
      <c r="A197" s="4">
        <v>332310400</v>
      </c>
      <c r="B197" t="s">
        <v>88</v>
      </c>
      <c r="C197" t="s">
        <v>269</v>
      </c>
      <c r="D19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8" spans="1:19" x14ac:dyDescent="0.25">
      <c r="A198" s="4">
        <v>332310300</v>
      </c>
      <c r="B198" t="s">
        <v>87</v>
      </c>
      <c r="C198" t="s">
        <v>269</v>
      </c>
      <c r="D19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199" spans="1:19" x14ac:dyDescent="0.25">
      <c r="A199" s="4">
        <v>332310200</v>
      </c>
      <c r="B199" t="s">
        <v>86</v>
      </c>
      <c r="C199" t="s">
        <v>269</v>
      </c>
      <c r="D19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19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19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19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19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19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19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19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19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19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19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19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19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19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19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19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0" spans="1:19" x14ac:dyDescent="0.25">
      <c r="A200" s="4">
        <v>332310100</v>
      </c>
      <c r="B200" t="s">
        <v>85</v>
      </c>
      <c r="C200" t="s">
        <v>269</v>
      </c>
      <c r="D20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1" spans="1:19" x14ac:dyDescent="0.25">
      <c r="A201" s="4">
        <v>332219900</v>
      </c>
      <c r="B201" t="s">
        <v>84</v>
      </c>
      <c r="C201" t="s">
        <v>269</v>
      </c>
      <c r="D20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2" spans="1:19" x14ac:dyDescent="0.25">
      <c r="A202" s="4">
        <v>332211000</v>
      </c>
      <c r="B202" t="s">
        <v>83</v>
      </c>
      <c r="C202" t="s">
        <v>269</v>
      </c>
      <c r="D20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3" spans="1:19" x14ac:dyDescent="0.25">
      <c r="A203" s="4">
        <v>332210900</v>
      </c>
      <c r="B203" t="s">
        <v>82</v>
      </c>
      <c r="C203" t="s">
        <v>269</v>
      </c>
      <c r="D20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4" spans="1:19" x14ac:dyDescent="0.25">
      <c r="A204" s="4">
        <v>332210800</v>
      </c>
      <c r="B204" t="s">
        <v>81</v>
      </c>
      <c r="C204" t="s">
        <v>269</v>
      </c>
      <c r="D20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5" spans="1:19" x14ac:dyDescent="0.25">
      <c r="A205" s="4">
        <v>332210700</v>
      </c>
      <c r="B205" t="s">
        <v>80</v>
      </c>
      <c r="C205" t="s">
        <v>269</v>
      </c>
      <c r="D20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6" spans="1:19" x14ac:dyDescent="0.25">
      <c r="A206" s="4">
        <v>332210400</v>
      </c>
      <c r="B206" t="s">
        <v>79</v>
      </c>
      <c r="C206" t="s">
        <v>269</v>
      </c>
      <c r="D20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7" spans="1:19" x14ac:dyDescent="0.25">
      <c r="A207" s="4">
        <v>332210300</v>
      </c>
      <c r="B207" t="s">
        <v>78</v>
      </c>
      <c r="C207" t="s">
        <v>269</v>
      </c>
      <c r="D20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8" spans="1:19" x14ac:dyDescent="0.25">
      <c r="A208" s="4">
        <v>332210200</v>
      </c>
      <c r="B208" t="s">
        <v>77</v>
      </c>
      <c r="C208" t="s">
        <v>269</v>
      </c>
      <c r="D20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09" spans="1:19" x14ac:dyDescent="0.25">
      <c r="A209" s="4">
        <v>332210100</v>
      </c>
      <c r="B209" t="s">
        <v>76</v>
      </c>
      <c r="C209" t="s">
        <v>269</v>
      </c>
      <c r="D20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0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0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0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0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0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0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0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0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0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0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0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0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0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0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0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0" spans="1:19" x14ac:dyDescent="0.25">
      <c r="A210" s="4">
        <v>332110100</v>
      </c>
      <c r="B210" t="s">
        <v>75</v>
      </c>
      <c r="C210" t="s">
        <v>269</v>
      </c>
      <c r="D21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1" spans="1:19" x14ac:dyDescent="0.25">
      <c r="A211" s="4">
        <v>331119900</v>
      </c>
      <c r="B211" t="s">
        <v>74</v>
      </c>
      <c r="C211" t="s">
        <v>269</v>
      </c>
      <c r="D21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2" spans="1:19" x14ac:dyDescent="0.25">
      <c r="A212" s="4">
        <v>331110900</v>
      </c>
      <c r="B212" t="s">
        <v>73</v>
      </c>
      <c r="C212" t="s">
        <v>269</v>
      </c>
      <c r="D21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3" spans="1:19" x14ac:dyDescent="0.25">
      <c r="A213" s="4">
        <v>331110800</v>
      </c>
      <c r="B213" t="s">
        <v>72</v>
      </c>
      <c r="C213" t="s">
        <v>269</v>
      </c>
      <c r="D21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4" spans="1:19" x14ac:dyDescent="0.25">
      <c r="A214" s="4">
        <v>331110700</v>
      </c>
      <c r="B214" t="s">
        <v>71</v>
      </c>
      <c r="C214" t="s">
        <v>269</v>
      </c>
      <c r="D21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5" spans="1:19" x14ac:dyDescent="0.25">
      <c r="A215" s="4">
        <v>331110600</v>
      </c>
      <c r="B215" t="s">
        <v>70</v>
      </c>
      <c r="C215" t="s">
        <v>269</v>
      </c>
      <c r="D21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6" spans="1:19" x14ac:dyDescent="0.25">
      <c r="A216" s="4">
        <v>331110500</v>
      </c>
      <c r="B216" t="s">
        <v>69</v>
      </c>
      <c r="C216" t="s">
        <v>269</v>
      </c>
      <c r="D21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7" spans="1:19" x14ac:dyDescent="0.25">
      <c r="A217" s="4">
        <v>331110400</v>
      </c>
      <c r="B217" t="s">
        <v>68</v>
      </c>
      <c r="C217" t="s">
        <v>269</v>
      </c>
      <c r="D21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8" spans="1:19" x14ac:dyDescent="0.25">
      <c r="A218" s="4">
        <v>331110300</v>
      </c>
      <c r="B218" t="s">
        <v>67</v>
      </c>
      <c r="C218" t="s">
        <v>269</v>
      </c>
      <c r="D21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19" spans="1:19" x14ac:dyDescent="0.25">
      <c r="A219" s="4">
        <v>331110100</v>
      </c>
      <c r="B219" t="s">
        <v>66</v>
      </c>
      <c r="C219" t="s">
        <v>269</v>
      </c>
      <c r="D21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1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1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1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1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1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1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1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1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1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1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1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1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1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1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1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0" spans="1:19" x14ac:dyDescent="0.25">
      <c r="A220" s="4">
        <v>322910200</v>
      </c>
      <c r="B220" t="s">
        <v>65</v>
      </c>
      <c r="C220" t="s">
        <v>269</v>
      </c>
      <c r="D22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1" spans="1:19" x14ac:dyDescent="0.25">
      <c r="A221" s="4">
        <v>319110100</v>
      </c>
      <c r="B221" t="s">
        <v>64</v>
      </c>
      <c r="C221" t="s">
        <v>269</v>
      </c>
      <c r="D22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2" spans="1:19" x14ac:dyDescent="0.25">
      <c r="A222" s="4">
        <v>313210600</v>
      </c>
      <c r="B222" t="s">
        <v>63</v>
      </c>
      <c r="C222" t="s">
        <v>269</v>
      </c>
      <c r="D22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3" spans="1:19" x14ac:dyDescent="0.25">
      <c r="A223" s="4">
        <v>313210200</v>
      </c>
      <c r="B223" t="s">
        <v>62</v>
      </c>
      <c r="C223" t="s">
        <v>269</v>
      </c>
      <c r="D22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4" spans="1:19" x14ac:dyDescent="0.25">
      <c r="A224" s="4">
        <v>313110200</v>
      </c>
      <c r="B224" t="s">
        <v>62</v>
      </c>
      <c r="C224" t="s">
        <v>269</v>
      </c>
      <c r="D22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5" spans="1:19" x14ac:dyDescent="0.25">
      <c r="A225" s="4">
        <v>312510100</v>
      </c>
      <c r="B225" t="s">
        <v>184</v>
      </c>
      <c r="C225" t="s">
        <v>283</v>
      </c>
      <c r="D22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6" spans="1:19" x14ac:dyDescent="0.25">
      <c r="A226" s="4">
        <v>312310100</v>
      </c>
      <c r="B226" t="s">
        <v>61</v>
      </c>
      <c r="C226" t="s">
        <v>269</v>
      </c>
      <c r="D22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7" spans="1:19" x14ac:dyDescent="0.25">
      <c r="A227" s="4">
        <v>312220100</v>
      </c>
      <c r="B227" t="s">
        <v>59</v>
      </c>
      <c r="C227" t="s">
        <v>269</v>
      </c>
      <c r="D22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8" spans="1:19" x14ac:dyDescent="0.25">
      <c r="A228" s="4">
        <v>312219900</v>
      </c>
      <c r="B228" t="s">
        <v>60</v>
      </c>
      <c r="C228" t="s">
        <v>269</v>
      </c>
      <c r="D22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29" spans="1:19" x14ac:dyDescent="0.25">
      <c r="A229" s="4">
        <v>312210100</v>
      </c>
      <c r="B229" t="s">
        <v>59</v>
      </c>
      <c r="C229" t="s">
        <v>269</v>
      </c>
      <c r="D22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2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2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2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2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2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2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2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2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2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2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2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2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2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2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2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0" spans="1:19" x14ac:dyDescent="0.25">
      <c r="A230" s="4">
        <v>311210900</v>
      </c>
      <c r="B230" t="s">
        <v>58</v>
      </c>
      <c r="C230" t="s">
        <v>269</v>
      </c>
      <c r="D23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1" spans="1:19" x14ac:dyDescent="0.25">
      <c r="A231" s="4">
        <v>311210800</v>
      </c>
      <c r="B231" t="s">
        <v>57</v>
      </c>
      <c r="C231" t="s">
        <v>269</v>
      </c>
      <c r="D23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2" spans="1:19" x14ac:dyDescent="0.25">
      <c r="A232" s="4">
        <v>311210700</v>
      </c>
      <c r="B232" t="s">
        <v>56</v>
      </c>
      <c r="C232" t="s">
        <v>269</v>
      </c>
      <c r="D23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3" spans="1:19" x14ac:dyDescent="0.25">
      <c r="A233" s="4">
        <v>311210600</v>
      </c>
      <c r="B233" t="s">
        <v>55</v>
      </c>
      <c r="C233" t="s">
        <v>269</v>
      </c>
      <c r="D23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4" spans="1:19" x14ac:dyDescent="0.25">
      <c r="A234" s="4">
        <v>311210500</v>
      </c>
      <c r="B234" t="s">
        <v>54</v>
      </c>
      <c r="C234" t="s">
        <v>269</v>
      </c>
      <c r="D23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5" spans="1:19" x14ac:dyDescent="0.25">
      <c r="A235" s="4">
        <v>311210400</v>
      </c>
      <c r="B235" t="s">
        <v>53</v>
      </c>
      <c r="C235" t="s">
        <v>269</v>
      </c>
      <c r="D23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6" spans="1:19" x14ac:dyDescent="0.25">
      <c r="A236" s="4">
        <v>311210300</v>
      </c>
      <c r="B236" t="s">
        <v>52</v>
      </c>
      <c r="C236" t="s">
        <v>269</v>
      </c>
      <c r="D23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7" spans="1:19" x14ac:dyDescent="0.25">
      <c r="A237" s="4">
        <v>311210100</v>
      </c>
      <c r="B237" t="s">
        <v>49</v>
      </c>
      <c r="C237" t="s">
        <v>269</v>
      </c>
      <c r="D23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8" spans="1:19" x14ac:dyDescent="0.25">
      <c r="A238" s="4">
        <v>311119900</v>
      </c>
      <c r="B238" t="s">
        <v>51</v>
      </c>
      <c r="C238" t="s">
        <v>269</v>
      </c>
      <c r="D23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39" spans="1:19" x14ac:dyDescent="0.25">
      <c r="A239" s="4">
        <v>311110900</v>
      </c>
      <c r="B239" t="s">
        <v>50</v>
      </c>
      <c r="C239" t="s">
        <v>269</v>
      </c>
      <c r="D23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3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3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3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3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3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3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3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3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3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3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3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3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3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3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3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0" spans="1:19" x14ac:dyDescent="0.25">
      <c r="A240" s="4">
        <v>311110100</v>
      </c>
      <c r="B240" t="s">
        <v>49</v>
      </c>
      <c r="C240" t="s">
        <v>269</v>
      </c>
      <c r="D24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1" spans="1:19" x14ac:dyDescent="0.25">
      <c r="A241" s="4">
        <v>311219900</v>
      </c>
      <c r="B241" t="s">
        <v>187</v>
      </c>
      <c r="C241" t="s">
        <v>269</v>
      </c>
      <c r="D24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2" spans="1:19" x14ac:dyDescent="0.25">
      <c r="A242" s="4">
        <v>332320600</v>
      </c>
      <c r="B242" t="s">
        <v>188</v>
      </c>
      <c r="C242" t="s">
        <v>269</v>
      </c>
      <c r="D24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3" spans="1:19" x14ac:dyDescent="0.25">
      <c r="A243" s="4">
        <v>342410300</v>
      </c>
      <c r="B243" t="s">
        <v>153</v>
      </c>
      <c r="C243" t="s">
        <v>271</v>
      </c>
      <c r="D24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4" spans="1:19" x14ac:dyDescent="0.25">
      <c r="A244" s="4">
        <v>371110900</v>
      </c>
      <c r="B244" t="s">
        <v>189</v>
      </c>
      <c r="C244" t="s">
        <v>269</v>
      </c>
      <c r="D24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5" spans="1:19" x14ac:dyDescent="0.25">
      <c r="A245" s="4">
        <v>371120300</v>
      </c>
      <c r="B245" t="s">
        <v>190</v>
      </c>
      <c r="C245" t="s">
        <v>269</v>
      </c>
      <c r="D24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6" spans="1:19" x14ac:dyDescent="0.25">
      <c r="A246" s="4">
        <v>371320100</v>
      </c>
      <c r="B246" t="s">
        <v>191</v>
      </c>
      <c r="C246" t="s">
        <v>269</v>
      </c>
      <c r="D24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7" spans="1:19" x14ac:dyDescent="0.25">
      <c r="A247" s="4">
        <v>372120200</v>
      </c>
      <c r="B247" t="s">
        <v>192</v>
      </c>
      <c r="C247" t="s">
        <v>269</v>
      </c>
      <c r="D24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8" spans="1:19" x14ac:dyDescent="0.25">
      <c r="A248" s="4">
        <v>372220100</v>
      </c>
      <c r="B248" t="s">
        <v>193</v>
      </c>
      <c r="C248" t="s">
        <v>269</v>
      </c>
      <c r="D248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8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8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8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8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8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8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8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8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8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8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8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8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8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8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8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49" spans="1:19" x14ac:dyDescent="0.25">
      <c r="A249" s="4">
        <v>463410100</v>
      </c>
      <c r="B249" t="s">
        <v>194</v>
      </c>
      <c r="C249" t="s">
        <v>281</v>
      </c>
      <c r="D249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49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49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49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49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49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49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49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49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49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49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49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49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49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49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49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0" spans="1:19" x14ac:dyDescent="0.25">
      <c r="A250" s="4">
        <v>497110100</v>
      </c>
      <c r="B250" t="s">
        <v>195</v>
      </c>
      <c r="C250" t="s">
        <v>281</v>
      </c>
      <c r="D250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0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0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0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0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0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0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0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0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0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0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0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0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0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0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0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1" spans="1:19" x14ac:dyDescent="0.25">
      <c r="A251" s="4">
        <v>311110600</v>
      </c>
      <c r="B251" t="s">
        <v>285</v>
      </c>
      <c r="C251" t="s">
        <v>269</v>
      </c>
      <c r="D251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1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1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1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1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1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1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1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1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1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1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1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1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1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1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1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2" spans="1:19" x14ac:dyDescent="0.25">
      <c r="A252" s="4">
        <v>311110700</v>
      </c>
      <c r="B252" t="s">
        <v>56</v>
      </c>
      <c r="C252" t="s">
        <v>269</v>
      </c>
      <c r="D252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2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2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2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2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2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2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2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2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2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2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2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2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2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2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2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3" spans="1:19" x14ac:dyDescent="0.25">
      <c r="A253" s="4">
        <v>313210400</v>
      </c>
      <c r="B253" t="s">
        <v>286</v>
      </c>
      <c r="C253" t="s">
        <v>269</v>
      </c>
      <c r="D253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3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3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3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3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3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3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3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3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3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3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3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3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3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3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3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4" spans="1:19" x14ac:dyDescent="0.25">
      <c r="A254" s="4">
        <v>331210100</v>
      </c>
      <c r="B254" t="s">
        <v>287</v>
      </c>
      <c r="C254" t="s">
        <v>269</v>
      </c>
      <c r="D254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4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4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4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4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4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4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4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4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4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4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4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4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4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4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4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5" spans="1:19" x14ac:dyDescent="0.25">
      <c r="A255" s="4">
        <v>372119900</v>
      </c>
      <c r="B255" t="s">
        <v>146</v>
      </c>
      <c r="C255" t="s">
        <v>269</v>
      </c>
      <c r="D255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5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5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5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5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5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5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5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5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5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5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5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5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5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5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5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6" spans="1:19" x14ac:dyDescent="0.25">
      <c r="A256" s="4">
        <v>431111000</v>
      </c>
      <c r="B256" t="s">
        <v>288</v>
      </c>
      <c r="C256" t="s">
        <v>244</v>
      </c>
      <c r="D256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6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6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6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6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6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6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6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6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6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6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6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6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6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6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6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  <row r="257" spans="1:19" x14ac:dyDescent="0.25">
      <c r="A257" s="4">
        <v>492110100</v>
      </c>
      <c r="B257" t="s">
        <v>42</v>
      </c>
      <c r="C257" t="s">
        <v>281</v>
      </c>
      <c r="D257" s="31" t="str">
        <f>IF(ISERROR(SUMIFS(tb_BaseDados[Janeiro],tb_BaseDados[Conta Contábil],tb_ClassConta[[#This Row],[Conta Contábil]])/SUMIFS(tb_BaseDados_Anterior[Janeiro],tb_BaseDados_Anterior[Conta Contábil],tb_ClassConta[[#This Row],[Conta Contábil]])),"",SUMIFS(tb_BaseDados[Janeiro],tb_BaseDados[Conta Contábil],tb_ClassConta[[#This Row],[Conta Contábil]])/SUMIFS(tb_BaseDados_Anterior[Janeiro],tb_BaseDados_Anterior[Conta Contábil],tb_ClassConta[[#This Row],[Conta Contábil]]))</f>
        <v/>
      </c>
      <c r="E257" s="31" t="str">
        <f>IF(ISERROR(SUMIFS(tb_BaseDados[Fevereiro],tb_BaseDados[Conta Contábil],tb_ClassConta[[#This Row],[Conta Contábil]])/SUMIFS(tb_BaseDados_Anterior[Fevereiro],tb_BaseDados_Anterior[Conta Contábil],tb_ClassConta[[#This Row],[Conta Contábil]])),"",SUMIFS(tb_BaseDados[Fevereiro],tb_BaseDados[Conta Contábil],tb_ClassConta[[#This Row],[Conta Contábil]])/SUMIFS(tb_BaseDados_Anterior[Fevereiro],tb_BaseDados_Anterior[Conta Contábil],tb_ClassConta[[#This Row],[Conta Contábil]]))</f>
        <v/>
      </c>
      <c r="F257" s="31" t="str">
        <f>IF(ISERROR(SUMIFS(tb_BaseDados[Março],tb_BaseDados[Conta Contábil],tb_ClassConta[[#This Row],[Conta Contábil]])/SUMIFS(tb_BaseDados_Anterior[Março],tb_BaseDados_Anterior[Conta Contábil],tb_ClassConta[[#This Row],[Conta Contábil]])),"",SUMIFS(tb_BaseDados[Março],tb_BaseDados[Conta Contábil],tb_ClassConta[[#This Row],[Conta Contábil]])/SUMIFS(tb_BaseDados_Anterior[Março],tb_BaseDados_Anterior[Conta Contábil],tb_ClassConta[[#This Row],[Conta Contábil]]))</f>
        <v/>
      </c>
      <c r="G257" s="31" t="str">
        <f>IF(ISERROR(SUMIFS(tb_BaseDados[Abril],tb_BaseDados[Conta Contábil],tb_ClassConta[[#This Row],[Conta Contábil]])/SUMIFS(tb_BaseDados_Anterior[Abril],tb_BaseDados_Anterior[Conta Contábil],tb_ClassConta[[#This Row],[Conta Contábil]])),"",SUMIFS(tb_BaseDados[Abril],tb_BaseDados[Conta Contábil],tb_ClassConta[[#This Row],[Conta Contábil]])/SUMIFS(tb_BaseDados_Anterior[Abril],tb_BaseDados_Anterior[Conta Contábil],tb_ClassConta[[#This Row],[Conta Contábil]]))</f>
        <v/>
      </c>
      <c r="H257" s="31" t="str">
        <f>IF(ISERROR(SUMIFS(tb_BaseDados[Maio],tb_BaseDados[Conta Contábil],tb_ClassConta[[#This Row],[Conta Contábil]])/SUMIFS(tb_BaseDados_Anterior[Maio],tb_BaseDados_Anterior[Conta Contábil],tb_ClassConta[[#This Row],[Conta Contábil]])),"",SUMIFS(tb_BaseDados[Maio],tb_BaseDados[Conta Contábil],tb_ClassConta[[#This Row],[Conta Contábil]])/SUMIFS(tb_BaseDados_Anterior[Maio],tb_BaseDados_Anterior[Conta Contábil],tb_ClassConta[[#This Row],[Conta Contábil]]))</f>
        <v/>
      </c>
      <c r="I257" s="31" t="str">
        <f>IF(ISERROR(SUMIFS(tb_BaseDados[Junho],tb_BaseDados[Conta Contábil],tb_ClassConta[[#This Row],[Conta Contábil]])/SUMIFS(tb_BaseDados_Anterior[Junho],tb_BaseDados_Anterior[Conta Contábil],tb_ClassConta[[#This Row],[Conta Contábil]])),"",SUMIFS(tb_BaseDados[Junho],tb_BaseDados[Conta Contábil],tb_ClassConta[[#This Row],[Conta Contábil]])/SUMIFS(tb_BaseDados_Anterior[Junho],tb_BaseDados_Anterior[Conta Contábil],tb_ClassConta[[#This Row],[Conta Contábil]]))</f>
        <v/>
      </c>
      <c r="J257" s="31" t="str">
        <f>IF(ISERROR(SUMIFS(tb_BaseDados[Julho],tb_BaseDados[Conta Contábil],tb_ClassConta[[#This Row],[Conta Contábil]])/SUMIFS(tb_BaseDados_Anterior[Julho],tb_BaseDados_Anterior[Conta Contábil],tb_ClassConta[[#This Row],[Conta Contábil]])),"",SUMIFS(tb_BaseDados[Julho],tb_BaseDados[Conta Contábil],tb_ClassConta[[#This Row],[Conta Contábil]])/SUMIFS(tb_BaseDados_Anterior[Julho],tb_BaseDados_Anterior[Conta Contábil],tb_ClassConta[[#This Row],[Conta Contábil]]))</f>
        <v/>
      </c>
      <c r="K257" s="31" t="str">
        <f>IF(ISERROR(SUMIFS(tb_BaseDados[Agosto],tb_BaseDados[Conta Contábil],tb_ClassConta[[#This Row],[Conta Contábil]])/SUMIFS(tb_BaseDados_Anterior[Agosto],tb_BaseDados_Anterior[Conta Contábil],tb_ClassConta[[#This Row],[Conta Contábil]])),"",SUMIFS(tb_BaseDados[Agosto],tb_BaseDados[Conta Contábil],tb_ClassConta[[#This Row],[Conta Contábil]])/SUMIFS(tb_BaseDados_Anterior[Agosto],tb_BaseDados_Anterior[Conta Contábil],tb_ClassConta[[#This Row],[Conta Contábil]]))</f>
        <v/>
      </c>
      <c r="L257" s="31" t="str">
        <f>IF(ISERROR(SUMIFS(tb_BaseDados[Setembro],tb_BaseDados[Conta Contábil],tb_ClassConta[[#This Row],[Conta Contábil]])/SUMIFS(tb_BaseDados_Anterior[Setembro],tb_BaseDados_Anterior[Conta Contábil],tb_ClassConta[[#This Row],[Conta Contábil]])),"",SUMIFS(tb_BaseDados[Setembro],tb_BaseDados[Conta Contábil],tb_ClassConta[[#This Row],[Conta Contábil]])/SUMIFS(tb_BaseDados_Anterior[Setembro],tb_BaseDados_Anterior[Conta Contábil],tb_ClassConta[[#This Row],[Conta Contábil]]))</f>
        <v/>
      </c>
      <c r="M257" s="31" t="str">
        <f>IF(ISERROR(SUMIFS(tb_BaseDados[Outubro],tb_BaseDados[Conta Contábil],tb_ClassConta[[#This Row],[Conta Contábil]])/SUMIFS(tb_BaseDados_Anterior[Outubro],tb_BaseDados_Anterior[Conta Contábil],tb_ClassConta[[#This Row],[Conta Contábil]])),"",SUMIFS(tb_BaseDados[Outubro],tb_BaseDados[Conta Contábil],tb_ClassConta[[#This Row],[Conta Contábil]])/SUMIFS(tb_BaseDados_Anterior[Outubro],tb_BaseDados_Anterior[Conta Contábil],tb_ClassConta[[#This Row],[Conta Contábil]]))</f>
        <v/>
      </c>
      <c r="N257" s="31" t="str">
        <f>IF(ISERROR(SUMIFS(tb_BaseDados[Novembro],tb_BaseDados[Conta Contábil],tb_ClassConta[[#This Row],[Conta Contábil]])/SUMIFS(tb_BaseDados_Anterior[Novembro],tb_BaseDados_Anterior[Conta Contábil],tb_ClassConta[[#This Row],[Conta Contábil]])),"",SUMIFS(tb_BaseDados[Novembro],tb_BaseDados[Conta Contábil],tb_ClassConta[[#This Row],[Conta Contábil]])/SUMIFS(tb_BaseDados_Anterior[Novembro],tb_BaseDados_Anterior[Conta Contábil],tb_ClassConta[[#This Row],[Conta Contábil]]))</f>
        <v/>
      </c>
      <c r="O257" s="31" t="str">
        <f>IF(ISERROR(SUMIFS(tb_BaseDados[Dezembro],tb_BaseDados[Conta Contábil],tb_ClassConta[[#This Row],[Conta Contábil]])/SUMIFS(tb_BaseDados_Anterior[Dezembro],tb_BaseDados_Anterior[Conta Contábil],tb_ClassConta[[#This Row],[Conta Contábil]])),"",SUMIFS(tb_BaseDados[Dezembro],tb_BaseDados[Conta Contábil],tb_ClassConta[[#This Row],[Conta Contábil]])/SUMIFS(tb_BaseDados_Anterior[Dezembro],tb_BaseDados_Anterior[Conta Contábil],tb_ClassConta[[#This Row],[Conta Contábil]]))</f>
        <v/>
      </c>
      <c r="P257" s="31" t="str">
        <f>IF(ISERROR(SUMIFS(tb_BaseDados[1º TRIMESTRE],tb_BaseDados[Conta Contábil],tb_ClassConta[[#This Row],[Conta Contábil]])/SUMIFS(tb_BaseDados_Anterior[1º TRIMESTRE],tb_BaseDados_Anterior[Conta Contábil],tb_ClassConta[[#This Row],[Conta Contábil]])),"",SUMIFS(tb_BaseDados[1º TRIMESTRE],tb_BaseDados[Conta Contábil],tb_ClassConta[[#This Row],[Conta Contábil]])/SUMIFS(tb_BaseDados_Anterior[1º TRIMESTRE],tb_BaseDados_Anterior[Conta Contábil],tb_ClassConta[[#This Row],[Conta Contábil]]))</f>
        <v/>
      </c>
      <c r="Q257" s="31" t="str">
        <f>IF(ISERROR(SUMIFS(tb_BaseDados[2º TRIMESTRE],tb_BaseDados[Conta Contábil],tb_ClassConta[[#This Row],[Conta Contábil]])/SUMIFS(tb_BaseDados_Anterior[2º TRIMESTRE],tb_BaseDados_Anterior[Conta Contábil],tb_ClassConta[[#This Row],[Conta Contábil]])),"",SUMIFS(tb_BaseDados[2º TRIMESTRE],tb_BaseDados[Conta Contábil],tb_ClassConta[[#This Row],[Conta Contábil]])/SUMIFS(tb_BaseDados_Anterior[2º TRIMESTRE],tb_BaseDados_Anterior[Conta Contábil],tb_ClassConta[[#This Row],[Conta Contábil]]))</f>
        <v/>
      </c>
      <c r="R257" s="31" t="str">
        <f>IF(ISERROR(SUMIFS(tb_BaseDados[3º TRIMESTRE],tb_BaseDados[Conta Contábil],tb_ClassConta[[#This Row],[Conta Contábil]])/SUMIFS(tb_BaseDados_Anterior[3º TRIMESTRE],tb_BaseDados_Anterior[Conta Contábil],tb_ClassConta[[#This Row],[Conta Contábil]])),"",SUMIFS(tb_BaseDados[3º TRIMESTRE],tb_BaseDados[Conta Contábil],tb_ClassConta[[#This Row],[Conta Contábil]])/SUMIFS(tb_BaseDados_Anterior[3º TRIMESTRE],tb_BaseDados_Anterior[Conta Contábil],tb_ClassConta[[#This Row],[Conta Contábil]]))</f>
        <v/>
      </c>
      <c r="S257" s="31" t="str">
        <f>IF(ISERROR(SUMIFS(tb_BaseDados[4º TRIMESTRE],tb_BaseDados[Conta Contábil],tb_ClassConta[[#This Row],[Conta Contábil]])/SUMIFS(tb_BaseDados_Anterior[4º TRIMESTRE],tb_BaseDados_Anterior[Conta Contábil],tb_ClassConta[[#This Row],[Conta Contábil]])),"",SUMIFS(tb_BaseDados[4º TRIMESTRE],tb_BaseDados[Conta Contábil],tb_ClassConta[[#This Row],[Conta Contábil]])/SUMIFS(tb_BaseDados_Anterior[4º TRIMESTRE],tb_BaseDados_Anterior[Conta Contábil],tb_ClassConta[[#This Row],[Conta Contábil]]))</f>
        <v/>
      </c>
    </row>
  </sheetData>
  <dataValidations count="1">
    <dataValidation type="list" allowBlank="1" showInputMessage="1" showErrorMessage="1" sqref="C2:C257">
      <formula1>lst_DescDRE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F2:S257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abelas">
    <tabColor theme="7" tint="0.59999389629810485"/>
  </sheetPr>
  <dimension ref="A1:F26"/>
  <sheetViews>
    <sheetView showGridLines="0" workbookViewId="0">
      <selection activeCell="E37" sqref="E37"/>
    </sheetView>
  </sheetViews>
  <sheetFormatPr defaultRowHeight="15" x14ac:dyDescent="0.25"/>
  <cols>
    <col min="1" max="1" width="63.5703125" style="1" bestFit="1" customWidth="1"/>
    <col min="3" max="3" width="12.7109375" customWidth="1"/>
    <col min="5" max="6" width="15.7109375" customWidth="1"/>
  </cols>
  <sheetData>
    <row r="1" spans="1:6" ht="45" customHeight="1" x14ac:dyDescent="0.25">
      <c r="A1" s="2" t="s">
        <v>250</v>
      </c>
      <c r="C1" s="3" t="s">
        <v>249</v>
      </c>
      <c r="E1" s="2" t="s">
        <v>251</v>
      </c>
      <c r="F1" s="2" t="s">
        <v>252</v>
      </c>
    </row>
    <row r="2" spans="1:6" ht="17.25" x14ac:dyDescent="0.25">
      <c r="A2" s="1" t="s">
        <v>212</v>
      </c>
      <c r="C2" s="2" t="s">
        <v>228</v>
      </c>
      <c r="E2" s="19" t="s">
        <v>245</v>
      </c>
      <c r="F2" s="19" t="s">
        <v>230</v>
      </c>
    </row>
    <row r="3" spans="1:6" ht="17.25" x14ac:dyDescent="0.25">
      <c r="A3" s="1" t="s">
        <v>213</v>
      </c>
      <c r="C3" s="2" t="s">
        <v>229</v>
      </c>
      <c r="E3" s="19" t="s">
        <v>246</v>
      </c>
      <c r="F3" s="19" t="s">
        <v>233</v>
      </c>
    </row>
    <row r="4" spans="1:6" ht="17.25" x14ac:dyDescent="0.25">
      <c r="A4" s="1" t="s">
        <v>214</v>
      </c>
      <c r="C4" s="2" t="s">
        <v>230</v>
      </c>
      <c r="E4" s="19" t="s">
        <v>247</v>
      </c>
      <c r="F4" s="19" t="s">
        <v>236</v>
      </c>
    </row>
    <row r="5" spans="1:6" x14ac:dyDescent="0.25">
      <c r="A5" s="1" t="s">
        <v>257</v>
      </c>
      <c r="C5" s="2" t="s">
        <v>231</v>
      </c>
      <c r="E5" s="19" t="s">
        <v>248</v>
      </c>
      <c r="F5" s="19" t="s">
        <v>239</v>
      </c>
    </row>
    <row r="6" spans="1:6" ht="17.25" x14ac:dyDescent="0.25">
      <c r="A6" s="1" t="s">
        <v>215</v>
      </c>
      <c r="C6" s="2" t="s">
        <v>232</v>
      </c>
    </row>
    <row r="7" spans="1:6" x14ac:dyDescent="0.25">
      <c r="A7" s="1" t="s">
        <v>258</v>
      </c>
      <c r="C7" s="2" t="s">
        <v>233</v>
      </c>
    </row>
    <row r="8" spans="1:6" ht="17.25" x14ac:dyDescent="0.25">
      <c r="A8" s="1" t="s">
        <v>259</v>
      </c>
      <c r="C8" s="2" t="s">
        <v>234</v>
      </c>
    </row>
    <row r="9" spans="1:6" ht="17.25" x14ac:dyDescent="0.25">
      <c r="A9" s="1" t="s">
        <v>216</v>
      </c>
      <c r="C9" s="2" t="s">
        <v>235</v>
      </c>
    </row>
    <row r="10" spans="1:6" ht="17.25" x14ac:dyDescent="0.25">
      <c r="A10" s="1" t="s">
        <v>217</v>
      </c>
      <c r="C10" s="2" t="s">
        <v>236</v>
      </c>
    </row>
    <row r="11" spans="1:6" ht="17.25" x14ac:dyDescent="0.25">
      <c r="A11" s="1" t="s">
        <v>218</v>
      </c>
      <c r="C11" s="2" t="s">
        <v>237</v>
      </c>
    </row>
    <row r="12" spans="1:6" ht="17.25" x14ac:dyDescent="0.25">
      <c r="A12" s="1" t="s">
        <v>260</v>
      </c>
      <c r="C12" s="2" t="s">
        <v>238</v>
      </c>
    </row>
    <row r="13" spans="1:6" ht="17.25" x14ac:dyDescent="0.25">
      <c r="A13" s="1" t="s">
        <v>219</v>
      </c>
      <c r="C13" s="2" t="s">
        <v>239</v>
      </c>
    </row>
    <row r="14" spans="1:6" ht="17.25" x14ac:dyDescent="0.25">
      <c r="A14" s="1" t="s">
        <v>220</v>
      </c>
    </row>
    <row r="15" spans="1:6" ht="17.25" x14ac:dyDescent="0.25">
      <c r="A15" s="1" t="s">
        <v>221</v>
      </c>
    </row>
    <row r="16" spans="1:6" ht="17.25" x14ac:dyDescent="0.25">
      <c r="A16" s="1" t="s">
        <v>261</v>
      </c>
    </row>
    <row r="17" spans="1:1" ht="17.25" x14ac:dyDescent="0.25">
      <c r="A17" s="1" t="s">
        <v>277</v>
      </c>
    </row>
    <row r="18" spans="1:1" ht="17.25" x14ac:dyDescent="0.25">
      <c r="A18" s="1" t="s">
        <v>222</v>
      </c>
    </row>
    <row r="19" spans="1:1" ht="17.25" x14ac:dyDescent="0.25">
      <c r="A19" s="1" t="s">
        <v>272</v>
      </c>
    </row>
    <row r="20" spans="1:1" ht="17.25" x14ac:dyDescent="0.25">
      <c r="A20" s="1" t="s">
        <v>273</v>
      </c>
    </row>
    <row r="21" spans="1:1" x14ac:dyDescent="0.25">
      <c r="A21" s="1" t="s">
        <v>262</v>
      </c>
    </row>
    <row r="22" spans="1:1" ht="17.25" x14ac:dyDescent="0.25">
      <c r="A22" s="1" t="s">
        <v>274</v>
      </c>
    </row>
    <row r="23" spans="1:1" x14ac:dyDescent="0.25">
      <c r="A23" s="1" t="s">
        <v>263</v>
      </c>
    </row>
    <row r="24" spans="1:1" x14ac:dyDescent="0.25">
      <c r="A24" s="1" t="s">
        <v>197</v>
      </c>
    </row>
    <row r="25" spans="1:1" x14ac:dyDescent="0.25">
      <c r="A25" s="1" t="s">
        <v>198</v>
      </c>
    </row>
    <row r="26" spans="1:1" ht="17.25" x14ac:dyDescent="0.25">
      <c r="A26" s="1" t="s">
        <v>276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n_Temp">
    <tabColor rgb="FFFF0000"/>
  </sheetPr>
  <dimension ref="A1:G32"/>
  <sheetViews>
    <sheetView workbookViewId="0">
      <selection sqref="A1:G32"/>
    </sheetView>
  </sheetViews>
  <sheetFormatPr defaultRowHeight="15" x14ac:dyDescent="0.25"/>
  <sheetData>
    <row r="1" spans="1:7" x14ac:dyDescent="0.25">
      <c r="A1">
        <v>1311210100</v>
      </c>
      <c r="B1" t="s">
        <v>49</v>
      </c>
      <c r="D1">
        <v>73757.569174800345</v>
      </c>
      <c r="E1">
        <v>73760.978926353157</v>
      </c>
      <c r="F1">
        <v>73359.72410825199</v>
      </c>
      <c r="G1">
        <v>22.070425909494233</v>
      </c>
    </row>
    <row r="2" spans="1:7" x14ac:dyDescent="0.25">
      <c r="A2">
        <v>1311210300</v>
      </c>
      <c r="B2" t="s">
        <v>52</v>
      </c>
      <c r="D2">
        <v>3104.2464418811005</v>
      </c>
      <c r="E2">
        <v>2857.4273203194321</v>
      </c>
      <c r="F2">
        <v>2983.8142857142857</v>
      </c>
      <c r="G2">
        <v>0</v>
      </c>
    </row>
    <row r="3" spans="1:7" x14ac:dyDescent="0.25">
      <c r="A3">
        <v>1311210400</v>
      </c>
      <c r="B3" t="s">
        <v>53</v>
      </c>
      <c r="D3">
        <v>32506.899707187222</v>
      </c>
      <c r="E3">
        <v>32533.767808340726</v>
      </c>
      <c r="F3">
        <v>32403.082236024846</v>
      </c>
      <c r="G3">
        <v>0</v>
      </c>
    </row>
    <row r="4" spans="1:7" x14ac:dyDescent="0.25">
      <c r="A4">
        <v>1311210500</v>
      </c>
      <c r="B4" t="s">
        <v>54</v>
      </c>
      <c r="D4">
        <v>12581.51314108252</v>
      </c>
      <c r="E4">
        <v>12518.543629103815</v>
      </c>
      <c r="F4">
        <v>12523.951295474712</v>
      </c>
      <c r="G4">
        <v>0</v>
      </c>
    </row>
    <row r="5" spans="1:7" x14ac:dyDescent="0.25">
      <c r="A5">
        <v>1311210600</v>
      </c>
      <c r="B5" t="s">
        <v>55</v>
      </c>
      <c r="D5">
        <v>9432.7458740017737</v>
      </c>
      <c r="E5">
        <v>9388.9077196095823</v>
      </c>
      <c r="F5">
        <v>9396.5923425022193</v>
      </c>
      <c r="G5">
        <v>0</v>
      </c>
    </row>
    <row r="6" spans="1:7" x14ac:dyDescent="0.25">
      <c r="A6">
        <v>1311210700</v>
      </c>
      <c r="B6" t="s">
        <v>56</v>
      </c>
      <c r="D6">
        <v>1079.3802129547471</v>
      </c>
      <c r="E6">
        <v>950.31896184560776</v>
      </c>
      <c r="F6">
        <v>1622.7753504880213</v>
      </c>
      <c r="G6">
        <v>0</v>
      </c>
    </row>
    <row r="7" spans="1:7" x14ac:dyDescent="0.25">
      <c r="A7">
        <v>1312510100</v>
      </c>
      <c r="B7" t="s">
        <v>184</v>
      </c>
      <c r="D7">
        <v>7939.8236202307016</v>
      </c>
      <c r="E7">
        <v>7986.2291925465843</v>
      </c>
      <c r="F7">
        <v>7915.9892014196985</v>
      </c>
      <c r="G7">
        <v>0.41409050576752443</v>
      </c>
    </row>
    <row r="8" spans="1:7" x14ac:dyDescent="0.25">
      <c r="A8">
        <v>1313210600</v>
      </c>
      <c r="B8" t="s">
        <v>63</v>
      </c>
      <c r="D8">
        <v>801.05137533274183</v>
      </c>
      <c r="E8">
        <v>755.47528837622008</v>
      </c>
      <c r="F8">
        <v>746.50496894409935</v>
      </c>
      <c r="G8">
        <v>0</v>
      </c>
    </row>
    <row r="9" spans="1:7" x14ac:dyDescent="0.25">
      <c r="A9">
        <v>1331110300</v>
      </c>
      <c r="B9" t="s">
        <v>67</v>
      </c>
      <c r="D9">
        <v>198.37871339840285</v>
      </c>
      <c r="E9">
        <v>273.65033717834962</v>
      </c>
      <c r="F9">
        <v>334.93768411712512</v>
      </c>
      <c r="G9">
        <v>75.341614906832305</v>
      </c>
    </row>
    <row r="10" spans="1:7" x14ac:dyDescent="0.25">
      <c r="A10">
        <v>1331110500</v>
      </c>
      <c r="B10" t="s">
        <v>69</v>
      </c>
      <c r="D10">
        <v>40.333682342502215</v>
      </c>
      <c r="E10">
        <v>55.356273291925461</v>
      </c>
      <c r="F10">
        <v>90.161118012422364</v>
      </c>
      <c r="G10">
        <v>0.33123336291038158</v>
      </c>
    </row>
    <row r="11" spans="1:7" x14ac:dyDescent="0.25">
      <c r="A11">
        <v>1332310800</v>
      </c>
      <c r="B11" t="s">
        <v>92</v>
      </c>
      <c r="D11">
        <v>1885.6690417036377</v>
      </c>
      <c r="E11">
        <v>1975.3651996450756</v>
      </c>
      <c r="F11">
        <v>1924.4630434782609</v>
      </c>
      <c r="G11">
        <v>473.70985803016862</v>
      </c>
    </row>
    <row r="12" spans="1:7" x14ac:dyDescent="0.25">
      <c r="A12">
        <v>1332320900</v>
      </c>
      <c r="B12" t="s">
        <v>106</v>
      </c>
      <c r="D12">
        <v>56.138553682342504</v>
      </c>
      <c r="E12">
        <v>-30.731224489795917</v>
      </c>
      <c r="F12">
        <v>26.169884649511978</v>
      </c>
      <c r="G12">
        <v>0</v>
      </c>
    </row>
    <row r="13" spans="1:7" x14ac:dyDescent="0.25">
      <c r="A13">
        <v>1332340300</v>
      </c>
      <c r="B13" t="s">
        <v>111</v>
      </c>
      <c r="D13">
        <v>0.742661934338953</v>
      </c>
      <c r="E13">
        <v>0.54677018633540375</v>
      </c>
      <c r="F13">
        <v>5.7309760425909495</v>
      </c>
      <c r="G13">
        <v>0</v>
      </c>
    </row>
    <row r="14" spans="1:7" x14ac:dyDescent="0.25">
      <c r="A14">
        <v>1342310100</v>
      </c>
      <c r="B14" t="s">
        <v>151</v>
      </c>
      <c r="D14">
        <v>5.6051464063886426E-2</v>
      </c>
      <c r="E14">
        <v>2.3735581188997337E-2</v>
      </c>
      <c r="F14">
        <v>0.44213842058562558</v>
      </c>
      <c r="G14">
        <v>8.1366459627329191E-3</v>
      </c>
    </row>
    <row r="15" spans="1:7" x14ac:dyDescent="0.25">
      <c r="A15">
        <v>1365020100</v>
      </c>
      <c r="B15" t="s">
        <v>180</v>
      </c>
      <c r="D15">
        <v>2411.9201330967171</v>
      </c>
      <c r="E15">
        <v>9928.8776574977801</v>
      </c>
      <c r="F15">
        <v>2354.3277196095828</v>
      </c>
      <c r="G15">
        <v>0</v>
      </c>
    </row>
    <row r="16" spans="1:7" x14ac:dyDescent="0.25">
      <c r="A16">
        <v>1371110800</v>
      </c>
      <c r="B16" t="s">
        <v>135</v>
      </c>
      <c r="D16">
        <v>8.5164241348713396</v>
      </c>
      <c r="E16">
        <v>1.4242236024844719</v>
      </c>
      <c r="F16">
        <v>-9.8040195208518188</v>
      </c>
      <c r="G16">
        <v>0</v>
      </c>
    </row>
    <row r="17" spans="1:7" x14ac:dyDescent="0.25">
      <c r="A17">
        <v>1371129900</v>
      </c>
      <c r="B17" t="s">
        <v>136</v>
      </c>
      <c r="D17">
        <v>1.379396628216504</v>
      </c>
      <c r="E17">
        <v>0</v>
      </c>
      <c r="F17">
        <v>-1.379396628216504</v>
      </c>
      <c r="G17">
        <v>0</v>
      </c>
    </row>
    <row r="18" spans="1:7" x14ac:dyDescent="0.25">
      <c r="A18">
        <v>1371220100</v>
      </c>
      <c r="B18" t="s">
        <v>140</v>
      </c>
      <c r="D18">
        <v>2.2750842945874004</v>
      </c>
      <c r="E18">
        <v>9.0002484472049691</v>
      </c>
      <c r="F18">
        <v>12.166246672582076</v>
      </c>
      <c r="G18">
        <v>8.6183762200532392</v>
      </c>
    </row>
    <row r="19" spans="1:7" x14ac:dyDescent="0.25">
      <c r="A19">
        <v>1372110600</v>
      </c>
      <c r="B19" t="s">
        <v>143</v>
      </c>
      <c r="D19">
        <v>9.6038243123336287</v>
      </c>
      <c r="E19">
        <v>0.34485359361135759</v>
      </c>
      <c r="F19">
        <v>0</v>
      </c>
      <c r="G19">
        <v>0</v>
      </c>
    </row>
    <row r="20" spans="1:7" x14ac:dyDescent="0.25">
      <c r="A20">
        <v>1372120500</v>
      </c>
      <c r="B20" t="s">
        <v>142</v>
      </c>
      <c r="D20">
        <v>0.41219165927240464</v>
      </c>
      <c r="E20">
        <v>0.41219165927240464</v>
      </c>
      <c r="F20">
        <v>0.41219165927240464</v>
      </c>
      <c r="G20">
        <v>0.41219165927240464</v>
      </c>
    </row>
    <row r="21" spans="1:7" x14ac:dyDescent="0.25">
      <c r="A21">
        <v>1372350100</v>
      </c>
      <c r="B21" t="s">
        <v>147</v>
      </c>
      <c r="D21">
        <v>1.2373291925465839</v>
      </c>
      <c r="E21">
        <v>0.78895297249334517</v>
      </c>
      <c r="F21">
        <v>1.0948092280390416</v>
      </c>
      <c r="G21">
        <v>7.6858917480035496E-2</v>
      </c>
    </row>
    <row r="22" spans="1:7" x14ac:dyDescent="0.25">
      <c r="A22">
        <v>1394110100</v>
      </c>
      <c r="B22" t="s">
        <v>124</v>
      </c>
      <c r="D22">
        <v>231.37012422360249</v>
      </c>
      <c r="E22">
        <v>177.49843833185446</v>
      </c>
      <c r="F22">
        <v>30.650425909494231</v>
      </c>
      <c r="G22">
        <v>86.388322981366457</v>
      </c>
    </row>
    <row r="23" spans="1:7" x14ac:dyDescent="0.25">
      <c r="A23">
        <v>1431111200</v>
      </c>
      <c r="B23" t="s">
        <v>2</v>
      </c>
      <c r="D23">
        <v>140.17913930789709</v>
      </c>
      <c r="E23">
        <v>195.34102928127771</v>
      </c>
      <c r="F23">
        <v>65.744596273291933</v>
      </c>
      <c r="G23">
        <v>1.0652528837622004</v>
      </c>
    </row>
    <row r="24" spans="1:7" x14ac:dyDescent="0.25">
      <c r="A24">
        <v>1433110100</v>
      </c>
      <c r="B24" t="s">
        <v>6</v>
      </c>
      <c r="D24">
        <v>252.21303460514642</v>
      </c>
      <c r="E24">
        <v>899.42702750665489</v>
      </c>
      <c r="F24">
        <v>2683.0673203194324</v>
      </c>
      <c r="G24">
        <v>59.026654835847374</v>
      </c>
    </row>
    <row r="25" spans="1:7" x14ac:dyDescent="0.25">
      <c r="A25">
        <v>1433910900</v>
      </c>
      <c r="B25" t="s">
        <v>11</v>
      </c>
      <c r="D25">
        <v>-126.16891748003549</v>
      </c>
      <c r="E25">
        <v>-121.68896184560781</v>
      </c>
      <c r="F25">
        <v>-169.22364685004436</v>
      </c>
      <c r="G25">
        <v>0</v>
      </c>
    </row>
    <row r="26" spans="1:7" x14ac:dyDescent="0.25">
      <c r="A26">
        <v>1451120200</v>
      </c>
      <c r="B26" t="s">
        <v>14</v>
      </c>
      <c r="D26">
        <v>171074.77984915703</v>
      </c>
      <c r="E26">
        <v>171756.35263531498</v>
      </c>
      <c r="F26">
        <v>182955.55076308784</v>
      </c>
      <c r="G26">
        <v>51480.808535936114</v>
      </c>
    </row>
    <row r="27" spans="1:7" x14ac:dyDescent="0.25">
      <c r="A27">
        <v>1451220300</v>
      </c>
      <c r="B27" t="s">
        <v>33</v>
      </c>
      <c r="D27">
        <v>1128.4872404614021</v>
      </c>
      <c r="E27">
        <v>363.08905057675241</v>
      </c>
      <c r="F27">
        <v>758.79472049689446</v>
      </c>
      <c r="G27">
        <v>63.885412599822537</v>
      </c>
    </row>
    <row r="28" spans="1:7" x14ac:dyDescent="0.25">
      <c r="A28">
        <v>1459020100</v>
      </c>
      <c r="B28" t="s">
        <v>15</v>
      </c>
      <c r="D28">
        <v>1954.7779414374447</v>
      </c>
      <c r="E28">
        <v>833.98818101153506</v>
      </c>
      <c r="F28">
        <v>321.07295474711623</v>
      </c>
      <c r="G28">
        <v>0.27116237799467613</v>
      </c>
    </row>
    <row r="29" spans="1:7" x14ac:dyDescent="0.25">
      <c r="A29">
        <v>1463110100</v>
      </c>
      <c r="B29" t="s">
        <v>38</v>
      </c>
      <c r="D29">
        <v>9.0434338952972499</v>
      </c>
      <c r="E29">
        <v>9.4358030168589178</v>
      </c>
      <c r="F29">
        <v>9.5112688553682343</v>
      </c>
      <c r="G29">
        <v>0</v>
      </c>
    </row>
    <row r="30" spans="1:7" x14ac:dyDescent="0.25">
      <c r="A30">
        <v>1463920100</v>
      </c>
      <c r="B30" t="s">
        <v>40</v>
      </c>
      <c r="D30">
        <v>2512.4677817213842</v>
      </c>
      <c r="E30">
        <v>9952.5133984028398</v>
      </c>
      <c r="F30">
        <v>2463.5619787045252</v>
      </c>
      <c r="G30">
        <v>0</v>
      </c>
    </row>
    <row r="31" spans="1:7" x14ac:dyDescent="0.25">
      <c r="A31">
        <v>1499610100</v>
      </c>
      <c r="B31" t="s">
        <v>44</v>
      </c>
      <c r="D31">
        <v>5.0779325643300801</v>
      </c>
      <c r="E31">
        <v>5.9123336291038155</v>
      </c>
      <c r="F31">
        <v>5.5626796805678795</v>
      </c>
      <c r="G31">
        <v>1.755527950310559</v>
      </c>
    </row>
    <row r="32" spans="1:7" x14ac:dyDescent="0.25">
      <c r="A32">
        <v>1499910100</v>
      </c>
      <c r="B32" t="s">
        <v>46</v>
      </c>
      <c r="D32">
        <v>104.21086956521738</v>
      </c>
      <c r="E32">
        <v>122.37034605146407</v>
      </c>
      <c r="F32">
        <v>228.16210292812778</v>
      </c>
      <c r="G32">
        <v>8.8067701863354042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17</vt:i4>
      </vt:variant>
    </vt:vector>
  </HeadingPairs>
  <TitlesOfParts>
    <vt:vector size="25" baseType="lpstr">
      <vt:lpstr>Ações</vt:lpstr>
      <vt:lpstr>DRE - Trimestral</vt:lpstr>
      <vt:lpstr>DRE - Trimestral Acumulado</vt:lpstr>
      <vt:lpstr>BASE - Atual</vt:lpstr>
      <vt:lpstr>BASE - Anterior</vt:lpstr>
      <vt:lpstr>Classificação Contas - DRE</vt:lpstr>
      <vt:lpstr>Tabela Auxiliar</vt:lpstr>
      <vt:lpstr>Temp</vt:lpstr>
      <vt:lpstr>ANO</vt:lpstr>
      <vt:lpstr>ANO_ACUM</vt:lpstr>
      <vt:lpstr>'DRE - Trimestral'!Area_de_impressao</vt:lpstr>
      <vt:lpstr>'DRE - Trimestral Acumulado'!Area_de_impressao</vt:lpstr>
      <vt:lpstr>COMPLEMENTO</vt:lpstr>
      <vt:lpstr>COMPLEMENTO_ACUM</vt:lpstr>
      <vt:lpstr>ESPACO</vt:lpstr>
      <vt:lpstr>ESPACO_ACUM</vt:lpstr>
      <vt:lpstr>lst_DescDRE</vt:lpstr>
      <vt:lpstr>lst_Mes</vt:lpstr>
      <vt:lpstr>lst_Trimestre</vt:lpstr>
      <vt:lpstr>PERIODO</vt:lpstr>
      <vt:lpstr>PERIODO_ACUM</vt:lpstr>
      <vt:lpstr>TRIMESTRE_1</vt:lpstr>
      <vt:lpstr>TRIMESTRE_2</vt:lpstr>
      <vt:lpstr>TRIMESTRE_3</vt:lpstr>
      <vt:lpstr>TRIMESTRE_4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 Leal Ramos;Allan Castro</dc:creator>
  <cp:lastModifiedBy>Evert Leal Ramos</cp:lastModifiedBy>
  <cp:lastPrinted>2016-04-11T13:52:21Z</cp:lastPrinted>
  <dcterms:created xsi:type="dcterms:W3CDTF">2016-04-08T13:34:08Z</dcterms:created>
  <dcterms:modified xsi:type="dcterms:W3CDTF">2016-04-11T13:55:56Z</dcterms:modified>
</cp:coreProperties>
</file>