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J:\planilhas_gerais\dre\"/>
    </mc:Choice>
  </mc:AlternateContent>
  <bookViews>
    <workbookView xWindow="0" yWindow="0" windowWidth="12060" windowHeight="11745" tabRatio="715"/>
  </bookViews>
  <sheets>
    <sheet name="Ações" sheetId="1" r:id="rId1"/>
    <sheet name="DRE - Trimestral" sheetId="9" r:id="rId2"/>
    <sheet name="DRE - Trimestral Acumulado" sheetId="12" r:id="rId3"/>
    <sheet name="BASE - Atual" sheetId="7" r:id="rId4"/>
    <sheet name="BASE - Anterior" sheetId="10" r:id="rId5"/>
    <sheet name="Classificação Contas - DRE" sheetId="4" r:id="rId6"/>
    <sheet name="Notas Explicativas" sheetId="13" r:id="rId7"/>
    <sheet name="Tabela Auxiliar" sheetId="5" r:id="rId8"/>
    <sheet name="Temp" sheetId="8" r:id="rId9"/>
  </sheets>
  <functionGroups builtInGroupCount="18"/>
  <definedNames>
    <definedName name="ANO">'DRE - Trimestral'!$B$5</definedName>
    <definedName name="ANO_ACUM">'DRE - Trimestral Acumulado'!$B$5</definedName>
    <definedName name="_xlnm.Print_Area" localSheetId="1">'DRE - Trimestral'!$D:$H</definedName>
    <definedName name="_xlnm.Print_Area" localSheetId="2">'DRE - Trimestral Acumulado'!$D:$H</definedName>
    <definedName name="_xlnm.Print_Area" localSheetId="6">'Notas Explicativas'!$A:$G</definedName>
    <definedName name="COMPLEMENTO">'DRE - Trimestral'!$B$8</definedName>
    <definedName name="COMPLEMENTO_ACUM">'DRE - Trimestral Acumulado'!$B$8</definedName>
    <definedName name="ESPACO">'DRE - Trimestral'!$C$8</definedName>
    <definedName name="ESPACO_ACUM">'DRE - Trimestral Acumulado'!$C$8</definedName>
    <definedName name="lst_DescDRE">tb_DescDRE[CLASSIFICAÇÃO DE DRE]</definedName>
    <definedName name="lst_Mes">tb_Mes[MESES]</definedName>
    <definedName name="lst_Trimestre">tb_Trimestre[TRIMESTRE]</definedName>
    <definedName name="PERIODO">'DRE - Trimestral'!$B$2</definedName>
    <definedName name="PERIODO_ACUM">'DRE - Trimestral Acumulado'!$B$2</definedName>
    <definedName name="TRIMESTRE_1">'Tabela Auxiliar'!$E$2</definedName>
    <definedName name="TRIMESTRE_2">'Tabela Auxiliar'!$E$3</definedName>
    <definedName name="TRIMESTRE_3">'Tabela Auxiliar'!$E$4</definedName>
    <definedName name="TRIMESTRE_4">'Tabela Auxiliar'!$E$5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S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R2" i="7"/>
  <c r="R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Q2" i="7"/>
  <c r="Q3" i="7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P2" i="7"/>
  <c r="P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E3" i="12" l="1"/>
  <c r="E2" i="12"/>
  <c r="E1" i="12"/>
  <c r="C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S2" i="10"/>
  <c r="S3" i="10"/>
  <c r="S4" i="10"/>
  <c r="S5" i="10"/>
  <c r="S6" i="10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20" i="10"/>
  <c r="S21" i="10"/>
  <c r="S22" i="10"/>
  <c r="S23" i="10"/>
  <c r="S24" i="10"/>
  <c r="S25" i="10"/>
  <c r="S26" i="10"/>
  <c r="S27" i="10"/>
  <c r="S28" i="10"/>
  <c r="S29" i="10"/>
  <c r="S30" i="10"/>
  <c r="S31" i="10"/>
  <c r="S32" i="10"/>
  <c r="S33" i="10"/>
  <c r="R2" i="10"/>
  <c r="R3" i="10"/>
  <c r="R4" i="10"/>
  <c r="R5" i="10"/>
  <c r="R6" i="10"/>
  <c r="R7" i="10"/>
  <c r="R8" i="10"/>
  <c r="R9" i="10"/>
  <c r="R10" i="10"/>
  <c r="R11" i="10"/>
  <c r="R12" i="10"/>
  <c r="R13" i="10"/>
  <c r="R14" i="10"/>
  <c r="R15" i="10"/>
  <c r="R16" i="10"/>
  <c r="R17" i="10"/>
  <c r="R18" i="10"/>
  <c r="R19" i="10"/>
  <c r="R20" i="10"/>
  <c r="R21" i="10"/>
  <c r="R22" i="10"/>
  <c r="R23" i="10"/>
  <c r="R24" i="10"/>
  <c r="R25" i="10"/>
  <c r="R26" i="10"/>
  <c r="R27" i="10"/>
  <c r="R28" i="10"/>
  <c r="R29" i="10"/>
  <c r="R30" i="10"/>
  <c r="R31" i="10"/>
  <c r="R32" i="10"/>
  <c r="R33" i="10"/>
  <c r="Q2" i="10"/>
  <c r="Q3" i="10"/>
  <c r="Q4" i="10"/>
  <c r="Q5" i="10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P2" i="10"/>
  <c r="P3" i="10"/>
  <c r="P4" i="10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C2" i="13" l="1"/>
  <c r="C3" i="13"/>
  <c r="B2" i="13"/>
  <c r="B3" i="13"/>
  <c r="O33" i="4" l="1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O16" i="4"/>
  <c r="O15" i="4"/>
  <c r="O14" i="4"/>
  <c r="O13" i="4"/>
  <c r="O12" i="4"/>
  <c r="O11" i="4"/>
  <c r="O10" i="4"/>
  <c r="O9" i="4"/>
  <c r="O8" i="4"/>
  <c r="O7" i="4"/>
  <c r="O6" i="4"/>
  <c r="O5" i="4"/>
  <c r="O4" i="4"/>
  <c r="O3" i="4"/>
  <c r="O2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  <c r="N3" i="4"/>
  <c r="N2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M3" i="4"/>
  <c r="M2" i="4"/>
  <c r="L33" i="4"/>
  <c r="L32" i="4"/>
  <c r="L31" i="4"/>
  <c r="L30" i="4"/>
  <c r="L29" i="4"/>
  <c r="L28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L3" i="4"/>
  <c r="L2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K2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F15" i="12" l="1"/>
  <c r="F15" i="9"/>
  <c r="S33" i="4"/>
  <c r="S32" i="4"/>
  <c r="S31" i="4"/>
  <c r="S30" i="4"/>
  <c r="S29" i="4"/>
  <c r="S28" i="4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S11" i="4"/>
  <c r="S8" i="4"/>
  <c r="S7" i="4"/>
  <c r="S6" i="4"/>
  <c r="S5" i="4"/>
  <c r="S4" i="4"/>
  <c r="S3" i="4"/>
  <c r="S2" i="4"/>
  <c r="R33" i="4"/>
  <c r="R32" i="4"/>
  <c r="R31" i="4"/>
  <c r="R30" i="4"/>
  <c r="R29" i="4"/>
  <c r="R28" i="4"/>
  <c r="R27" i="4"/>
  <c r="R26" i="4"/>
  <c r="R25" i="4"/>
  <c r="R24" i="4"/>
  <c r="R23" i="4"/>
  <c r="R22" i="4"/>
  <c r="R21" i="4"/>
  <c r="R20" i="4"/>
  <c r="R19" i="4"/>
  <c r="R18" i="4"/>
  <c r="R17" i="4"/>
  <c r="R16" i="4"/>
  <c r="R15" i="4"/>
  <c r="R14" i="4"/>
  <c r="R13" i="4"/>
  <c r="R12" i="4"/>
  <c r="R11" i="4"/>
  <c r="R8" i="4"/>
  <c r="R7" i="4"/>
  <c r="R6" i="4"/>
  <c r="R5" i="4"/>
  <c r="R4" i="4"/>
  <c r="R3" i="4"/>
  <c r="R2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8" i="4"/>
  <c r="Q7" i="4"/>
  <c r="Q6" i="4"/>
  <c r="Q5" i="4"/>
  <c r="Q4" i="4"/>
  <c r="Q3" i="4"/>
  <c r="Q2" i="4"/>
  <c r="P33" i="4"/>
  <c r="P32" i="4"/>
  <c r="P31" i="4"/>
  <c r="P30" i="4"/>
  <c r="P29" i="4"/>
  <c r="P28" i="4"/>
  <c r="P27" i="4"/>
  <c r="P26" i="4"/>
  <c r="P25" i="4"/>
  <c r="P24" i="4"/>
  <c r="P23" i="4"/>
  <c r="P22" i="4"/>
  <c r="P21" i="4"/>
  <c r="P20" i="4"/>
  <c r="P19" i="4"/>
  <c r="P18" i="4"/>
  <c r="P17" i="4"/>
  <c r="P16" i="4"/>
  <c r="P15" i="4"/>
  <c r="P14" i="4"/>
  <c r="P13" i="4"/>
  <c r="P12" i="4"/>
  <c r="P11" i="4"/>
  <c r="P8" i="4"/>
  <c r="P7" i="4"/>
  <c r="P6" i="4"/>
  <c r="P5" i="4"/>
  <c r="P4" i="4"/>
  <c r="P3" i="4"/>
  <c r="P2" i="4"/>
  <c r="S9" i="4" l="1"/>
  <c r="S10" i="4"/>
  <c r="R9" i="4"/>
  <c r="R10" i="4"/>
  <c r="Q9" i="4"/>
  <c r="Q10" i="4"/>
  <c r="P9" i="4"/>
  <c r="P10" i="4"/>
  <c r="G15" i="9"/>
  <c r="G15" i="12"/>
  <c r="E21" i="9"/>
  <c r="E17" i="9"/>
  <c r="E72" i="9" l="1"/>
  <c r="E71" i="9"/>
  <c r="E70" i="9"/>
  <c r="E69" i="9"/>
  <c r="E68" i="9"/>
  <c r="E67" i="9"/>
  <c r="E66" i="9"/>
  <c r="E65" i="9"/>
  <c r="E64" i="9"/>
  <c r="E63" i="9"/>
  <c r="E62" i="9"/>
  <c r="E61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0" i="9"/>
  <c r="E19" i="9"/>
  <c r="E18" i="9"/>
  <c r="E16" i="9"/>
  <c r="E15" i="9"/>
  <c r="E14" i="9"/>
  <c r="E13" i="9"/>
  <c r="E12" i="9"/>
  <c r="E11" i="9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F12" i="12"/>
  <c r="G70" i="12"/>
  <c r="G69" i="12"/>
  <c r="G68" i="12"/>
  <c r="G67" i="12"/>
  <c r="G66" i="12"/>
  <c r="G65" i="12"/>
  <c r="G64" i="12"/>
  <c r="G63" i="12"/>
  <c r="G62" i="12"/>
  <c r="G61" i="12"/>
  <c r="G60" i="12"/>
  <c r="G58" i="12"/>
  <c r="G57" i="12"/>
  <c r="G56" i="12"/>
  <c r="G55" i="12"/>
  <c r="G54" i="12"/>
  <c r="G52" i="12"/>
  <c r="G51" i="12"/>
  <c r="G50" i="12"/>
  <c r="G48" i="12"/>
  <c r="G47" i="12"/>
  <c r="G46" i="12"/>
  <c r="G45" i="12"/>
  <c r="G44" i="12"/>
  <c r="G43" i="12"/>
  <c r="G42" i="12"/>
  <c r="G41" i="12"/>
  <c r="G40" i="12"/>
  <c r="G38" i="12"/>
  <c r="G37" i="12"/>
  <c r="G36" i="12"/>
  <c r="G35" i="12"/>
  <c r="G34" i="12"/>
  <c r="G33" i="12"/>
  <c r="G32" i="12"/>
  <c r="G30" i="12"/>
  <c r="G29" i="12"/>
  <c r="G28" i="12"/>
  <c r="G27" i="12"/>
  <c r="G26" i="12"/>
  <c r="G25" i="12"/>
  <c r="G24" i="12"/>
  <c r="G22" i="12"/>
  <c r="G20" i="12"/>
  <c r="G18" i="12"/>
  <c r="G16" i="12"/>
  <c r="G14" i="12"/>
  <c r="G12" i="12"/>
  <c r="F70" i="12"/>
  <c r="F69" i="12"/>
  <c r="F68" i="12"/>
  <c r="F67" i="12"/>
  <c r="F66" i="12"/>
  <c r="F65" i="12"/>
  <c r="F64" i="12"/>
  <c r="F63" i="12"/>
  <c r="F62" i="12"/>
  <c r="F61" i="12"/>
  <c r="F60" i="12"/>
  <c r="F58" i="12"/>
  <c r="F57" i="12"/>
  <c r="F56" i="12"/>
  <c r="F55" i="12"/>
  <c r="F54" i="12"/>
  <c r="F52" i="12"/>
  <c r="F51" i="12"/>
  <c r="F50" i="12"/>
  <c r="F48" i="12"/>
  <c r="F47" i="12"/>
  <c r="F46" i="12"/>
  <c r="F45" i="12"/>
  <c r="F44" i="12"/>
  <c r="F43" i="12"/>
  <c r="F42" i="12"/>
  <c r="F41" i="12"/>
  <c r="F40" i="12"/>
  <c r="F38" i="12"/>
  <c r="F37" i="12"/>
  <c r="F36" i="12"/>
  <c r="F35" i="12"/>
  <c r="F34" i="12"/>
  <c r="F33" i="12"/>
  <c r="F32" i="12"/>
  <c r="F30" i="12"/>
  <c r="F29" i="12"/>
  <c r="F28" i="12"/>
  <c r="F27" i="12"/>
  <c r="F26" i="12"/>
  <c r="F25" i="12"/>
  <c r="F24" i="12"/>
  <c r="F22" i="12"/>
  <c r="F20" i="12"/>
  <c r="F18" i="12"/>
  <c r="F16" i="12"/>
  <c r="F14" i="12"/>
  <c r="G8" i="12"/>
  <c r="F8" i="12"/>
  <c r="E5" i="12"/>
  <c r="G8" i="9"/>
  <c r="F8" i="9"/>
  <c r="E5" i="9"/>
  <c r="G72" i="9"/>
  <c r="G71" i="9"/>
  <c r="G70" i="9"/>
  <c r="G69" i="9"/>
  <c r="G68" i="9"/>
  <c r="G67" i="9"/>
  <c r="G66" i="9"/>
  <c r="G65" i="9"/>
  <c r="G64" i="9"/>
  <c r="G63" i="9"/>
  <c r="G62" i="9"/>
  <c r="G61" i="9"/>
  <c r="G60" i="9"/>
  <c r="G58" i="9"/>
  <c r="G57" i="9"/>
  <c r="G56" i="9"/>
  <c r="G55" i="9"/>
  <c r="G54" i="9"/>
  <c r="G52" i="9"/>
  <c r="G51" i="9"/>
  <c r="G50" i="9"/>
  <c r="G48" i="9"/>
  <c r="G47" i="9"/>
  <c r="G46" i="9"/>
  <c r="G45" i="9"/>
  <c r="G44" i="9"/>
  <c r="G43" i="9"/>
  <c r="G42" i="9"/>
  <c r="G41" i="9"/>
  <c r="G40" i="9"/>
  <c r="G38" i="9"/>
  <c r="G37" i="9"/>
  <c r="G36" i="9"/>
  <c r="G35" i="9"/>
  <c r="G34" i="9"/>
  <c r="G33" i="9"/>
  <c r="G32" i="9"/>
  <c r="G30" i="9"/>
  <c r="G29" i="9"/>
  <c r="G28" i="9"/>
  <c r="G27" i="9"/>
  <c r="G26" i="9"/>
  <c r="G25" i="9"/>
  <c r="G24" i="9"/>
  <c r="G20" i="9"/>
  <c r="G18" i="9"/>
  <c r="G16" i="9"/>
  <c r="G14" i="9"/>
  <c r="G12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8" i="9"/>
  <c r="F57" i="9"/>
  <c r="F56" i="9"/>
  <c r="F55" i="9"/>
  <c r="F54" i="9"/>
  <c r="F52" i="9"/>
  <c r="F51" i="9"/>
  <c r="F50" i="9"/>
  <c r="F48" i="9"/>
  <c r="F47" i="9"/>
  <c r="F46" i="9"/>
  <c r="F45" i="9"/>
  <c r="F44" i="9"/>
  <c r="F43" i="9"/>
  <c r="F42" i="9"/>
  <c r="F41" i="9"/>
  <c r="F40" i="9"/>
  <c r="F38" i="9"/>
  <c r="F37" i="9"/>
  <c r="F36" i="9"/>
  <c r="F35" i="9"/>
  <c r="F34" i="9"/>
  <c r="F33" i="9"/>
  <c r="F32" i="9"/>
  <c r="F30" i="9"/>
  <c r="F29" i="9"/>
  <c r="F28" i="9"/>
  <c r="F27" i="9"/>
  <c r="F26" i="9"/>
  <c r="F25" i="9"/>
  <c r="F24" i="9"/>
  <c r="F20" i="9"/>
  <c r="F18" i="9"/>
  <c r="F16" i="9"/>
  <c r="F14" i="9"/>
  <c r="F12" i="9"/>
  <c r="G23" i="12" l="1"/>
  <c r="F23" i="12"/>
  <c r="F31" i="12"/>
  <c r="G31" i="12"/>
  <c r="F31" i="9"/>
  <c r="G31" i="9"/>
  <c r="F23" i="9"/>
  <c r="G23" i="9"/>
  <c r="G19" i="12"/>
  <c r="G11" i="12"/>
  <c r="G13" i="9"/>
  <c r="G19" i="9"/>
  <c r="G13" i="12"/>
  <c r="G11" i="9"/>
  <c r="G17" i="9" l="1"/>
  <c r="G21" i="9" s="1"/>
  <c r="G39" i="9" s="1"/>
  <c r="G49" i="9" s="1"/>
  <c r="G53" i="9" s="1"/>
  <c r="G59" i="9" s="1"/>
  <c r="G17" i="12"/>
  <c r="G21" i="12" s="1"/>
  <c r="G39" i="12" s="1"/>
  <c r="G49" i="12" s="1"/>
  <c r="G53" i="12" s="1"/>
  <c r="G59" i="12" s="1"/>
  <c r="F11" i="12"/>
  <c r="F13" i="12"/>
  <c r="F19" i="12"/>
  <c r="F11" i="9"/>
  <c r="F19" i="9"/>
  <c r="F13" i="9"/>
  <c r="F17" i="12" l="1"/>
  <c r="F21" i="12" s="1"/>
  <c r="F39" i="12" s="1"/>
  <c r="F17" i="9"/>
  <c r="F21" i="9" s="1"/>
  <c r="F39" i="9" s="1"/>
  <c r="F49" i="9" s="1"/>
  <c r="F53" i="9" s="1"/>
  <c r="F59" i="9" s="1"/>
  <c r="F49" i="12" l="1"/>
  <c r="F53" i="12" s="1"/>
  <c r="F59" i="12" s="1"/>
</calcChain>
</file>

<file path=xl/sharedStrings.xml><?xml version="1.0" encoding="utf-8"?>
<sst xmlns="http://schemas.openxmlformats.org/spreadsheetml/2006/main" count="361" uniqueCount="128">
  <si>
    <t>VENDA DE ESTOQUE DE PROD ANIMAL E DERIVADOS</t>
  </si>
  <si>
    <t>VALOR BRUTO EXPLORACAO BENS, DIR E SERVICOS</t>
  </si>
  <si>
    <t>* COFINS</t>
  </si>
  <si>
    <t>= REPASSE RECEBIDO</t>
  </si>
  <si>
    <t>DOACOES/TRANSFERENCIAS RECEBIDAS</t>
  </si>
  <si>
    <t>MOVIMENTACOES DE SALDOS PATRIMONIAIS</t>
  </si>
  <si>
    <t>GANHOS COM INCORPORACAO DE ATIVOS POR DESCOBE</t>
  </si>
  <si>
    <t>OUTROS GANHOS COM INCORPORACAO DE ATIVO</t>
  </si>
  <si>
    <t>INDENIZACOES</t>
  </si>
  <si>
    <t>VPA DECORRENTE DE FATORES GERADORES DIVERSOS</t>
  </si>
  <si>
    <t>VENCIMENTOS E SALARIOS</t>
  </si>
  <si>
    <t>ADICIONAIS</t>
  </si>
  <si>
    <t>GRATIFICACOES</t>
  </si>
  <si>
    <t>FERIAS - RGPS</t>
  </si>
  <si>
    <t>13. SALARIO - RGPS</t>
  </si>
  <si>
    <t>LICENCAS</t>
  </si>
  <si>
    <t>AUXILIO CRECHE</t>
  </si>
  <si>
    <t>CONSUMO DE COMBUSTIVEIS E LUBRIFICANTES</t>
  </si>
  <si>
    <t>CONSUMO DE MATERIAL DE PROCESSAMENTO DE DADOS</t>
  </si>
  <si>
    <t>SERV.AGUA E ESGOTO,ENER.ELETR.,GAS E OUTR.-PJ</t>
  </si>
  <si>
    <t>LOCACOES E ARRENDAMENTOS - PJ - INTRA</t>
  </si>
  <si>
    <t>SERV.COMUNICACAO, GRAFICOS E AUDIOV.-PJ-EST</t>
  </si>
  <si>
    <t>BOLSA DE ESTUDOS NO PAIS</t>
  </si>
  <si>
    <t>IMPOSTO SOBRE SERVICOS DE QUALQUER NATUREZA</t>
  </si>
  <si>
    <t>OUTROS IMPOSTOS</t>
  </si>
  <si>
    <t>TAXAS</t>
  </si>
  <si>
    <t>OBRIGACOES PATRONAIS S/ SERVICOS DE PES. JUR.</t>
  </si>
  <si>
    <t>CONTRIBUICOES SINDICAIS</t>
  </si>
  <si>
    <t>CONTRIBUICAO ILUMINACAO PUBLICA</t>
  </si>
  <si>
    <t>JUROS DE MORA</t>
  </si>
  <si>
    <t>DESINCORPORACAO DE ATIVOS</t>
  </si>
  <si>
    <t>COMPLEMENTACAO DE PREVIDENCIA</t>
  </si>
  <si>
    <t>Descrição</t>
  </si>
  <si>
    <t>Conta Contábil</t>
  </si>
  <si>
    <t>Classificação</t>
  </si>
  <si>
    <t>( - ) Contribuição Social sobre o Lucro</t>
  </si>
  <si>
    <t>( - ) Imposto de RendaPessoa Jurídica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</si>
  <si>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</si>
  <si>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</si>
  <si>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</si>
  <si>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</si>
  <si>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</si>
  <si>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</si>
  <si>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</si>
  <si>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</si>
  <si>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</si>
  <si>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</si>
  <si>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</si>
  <si>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</si>
  <si>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Descrição Contas DRE</t>
  </si>
  <si>
    <r>
      <t xml:space="preserve">( + ) Receitas com Vendas e Serviços </t>
    </r>
    <r>
      <rPr>
        <vertAlign val="superscript"/>
        <sz val="11"/>
        <color theme="1"/>
        <rFont val="Calibri"/>
        <family val="2"/>
        <scheme val="minor"/>
      </rPr>
      <t>2.1</t>
    </r>
  </si>
  <si>
    <r>
      <t xml:space="preserve">( - ) Vendas Canceladas e Descontos Incondicionais </t>
    </r>
    <r>
      <rPr>
        <vertAlign val="superscript"/>
        <sz val="11"/>
        <color theme="1"/>
        <rFont val="Calibri"/>
        <family val="2"/>
        <scheme val="minor"/>
      </rPr>
      <t>2.2</t>
    </r>
  </si>
  <si>
    <r>
      <t xml:space="preserve">( - ) Imposto s/ Vendas e Serviços e Outras Deduções </t>
    </r>
    <r>
      <rPr>
        <vertAlign val="superscript"/>
        <sz val="11"/>
        <color theme="1"/>
        <rFont val="Calibri"/>
        <family val="2"/>
        <scheme val="minor"/>
      </rPr>
      <t>2.3</t>
    </r>
  </si>
  <si>
    <r>
      <t xml:space="preserve">( - ) Custo das Mercadorias e Serviços Vendidos </t>
    </r>
    <r>
      <rPr>
        <vertAlign val="superscript"/>
        <sz val="11"/>
        <color theme="1"/>
        <rFont val="Calibri"/>
        <family val="2"/>
        <scheme val="minor"/>
      </rPr>
      <t>2.4</t>
    </r>
  </si>
  <si>
    <r>
      <t xml:space="preserve">Repasse Recebido </t>
    </r>
    <r>
      <rPr>
        <vertAlign val="superscript"/>
        <sz val="11"/>
        <color theme="1"/>
        <rFont val="Calibri"/>
        <family val="2"/>
        <scheme val="minor"/>
      </rPr>
      <t>2.5(a)</t>
    </r>
  </si>
  <si>
    <r>
      <t xml:space="preserve">Outras Receitas Operacionais </t>
    </r>
    <r>
      <rPr>
        <vertAlign val="superscript"/>
        <sz val="11"/>
        <color theme="1"/>
        <rFont val="Calibri"/>
        <family val="2"/>
        <scheme val="minor"/>
      </rPr>
      <t>2.5(b)</t>
    </r>
  </si>
  <si>
    <r>
      <t xml:space="preserve">Convênios </t>
    </r>
    <r>
      <rPr>
        <vertAlign val="superscript"/>
        <sz val="11"/>
        <color theme="1"/>
        <rFont val="Calibri"/>
        <family val="2"/>
        <scheme val="minor"/>
      </rPr>
      <t xml:space="preserve">2.5(c) </t>
    </r>
  </si>
  <si>
    <r>
      <t xml:space="preserve">Despesas com Vendas </t>
    </r>
    <r>
      <rPr>
        <vertAlign val="superscript"/>
        <sz val="11"/>
        <color theme="1"/>
        <rFont val="Calibri"/>
        <family val="2"/>
        <scheme val="minor"/>
      </rPr>
      <t>2.6(a)</t>
    </r>
  </si>
  <si>
    <r>
      <t xml:space="preserve">Despesas Administrativas </t>
    </r>
    <r>
      <rPr>
        <vertAlign val="superscript"/>
        <sz val="11"/>
        <color theme="1"/>
        <rFont val="Calibri"/>
        <family val="2"/>
        <scheme val="minor"/>
      </rPr>
      <t>2.6(b)</t>
    </r>
  </si>
  <si>
    <r>
      <t xml:space="preserve">Despesas com Investimentos </t>
    </r>
    <r>
      <rPr>
        <vertAlign val="superscript"/>
        <sz val="11"/>
        <color theme="1"/>
        <rFont val="Calibri"/>
        <family val="2"/>
        <scheme val="minor"/>
      </rPr>
      <t>2.6(c)</t>
    </r>
  </si>
  <si>
    <r>
      <t xml:space="preserve">( - ) Despesas Financeiras </t>
    </r>
    <r>
      <rPr>
        <vertAlign val="superscript"/>
        <sz val="11"/>
        <color theme="1"/>
        <rFont val="Calibri"/>
        <family val="2"/>
        <scheme val="minor"/>
      </rPr>
      <t>2.8</t>
    </r>
  </si>
  <si>
    <t>Complemento</t>
  </si>
  <si>
    <t>Ano Corrente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</si>
  <si>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</si>
  <si>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</si>
  <si>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</si>
  <si>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</si>
  <si>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</si>
  <si>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</si>
  <si>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</si>
  <si>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</si>
  <si>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</si>
  <si>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</si>
  <si>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</si>
  <si>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</si>
  <si>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PERÍODO</t>
  </si>
  <si>
    <t>R$</t>
  </si>
  <si>
    <t>( - ) Vendas Canceladas e Descontos Incondicionais 2.2</t>
  </si>
  <si>
    <t>( - ) Imposto s/ Vendas e Serviços e Outras Deduções 2.3</t>
  </si>
  <si>
    <t>( + ) Receitas com Vendas e Serviços 2.1</t>
  </si>
  <si>
    <t>1º TRIMESTRE</t>
  </si>
  <si>
    <t>2º TRIMESTRE</t>
  </si>
  <si>
    <t>3º TRIMESTRE</t>
  </si>
  <si>
    <t>4º TRIMESTRE</t>
  </si>
  <si>
    <t>MESES</t>
  </si>
  <si>
    <t>CLASSIFICAÇÃO DE DRE</t>
  </si>
  <si>
    <t>TRIMESTRE</t>
  </si>
  <si>
    <t>ÚLTIMO MÊS</t>
  </si>
  <si>
    <t>...................................................................................</t>
  </si>
  <si>
    <t>SUB</t>
  </si>
  <si>
    <t xml:space="preserve">      </t>
  </si>
  <si>
    <t>ESPAÇO</t>
  </si>
  <si>
    <t>( = ) Receita Líquida</t>
  </si>
  <si>
    <t xml:space="preserve">( = ) Lucro Bruto </t>
  </si>
  <si>
    <t>( + ) Receitas Operacionais 2.5</t>
  </si>
  <si>
    <t>( - ) Despesas Operacionais 2.6</t>
  </si>
  <si>
    <t>(=) Resultado Antes das Receitas e Despesas Financeiras</t>
  </si>
  <si>
    <t>( =) Resultado do Período de Apuração</t>
  </si>
  <si>
    <t>( =) Resultado Antes dos Tributos sobre o Lucro</t>
  </si>
  <si>
    <t>( - ) Custo das Mercadorias e Serviços Vendidos 2.4</t>
  </si>
  <si>
    <t>Repasse Recebido 2.5(a)</t>
  </si>
  <si>
    <t>Outras Receitas Operacionais 2.5(b)</t>
  </si>
  <si>
    <t xml:space="preserve">Convênios 2.5(c) </t>
  </si>
  <si>
    <t>Despesas com Vendas 2.6(a)</t>
  </si>
  <si>
    <t>Despesas Administrativas 2.6(b)</t>
  </si>
  <si>
    <t>Despesas com Investimentos 2.6(c)</t>
  </si>
  <si>
    <t>( - ) Despesas Financeiras 2.8</t>
  </si>
  <si>
    <r>
      <t xml:space="preserve">( + ) Receitas Não Operacionais </t>
    </r>
    <r>
      <rPr>
        <vertAlign val="superscript"/>
        <sz val="11"/>
        <color theme="1"/>
        <rFont val="Calibri"/>
        <family val="2"/>
        <scheme val="minor"/>
      </rPr>
      <t>2.9</t>
    </r>
  </si>
  <si>
    <r>
      <t xml:space="preserve">( - ) Despesas Não Operacionais </t>
    </r>
    <r>
      <rPr>
        <vertAlign val="superscript"/>
        <sz val="11"/>
        <color theme="1"/>
        <rFont val="Calibri"/>
        <family val="2"/>
        <scheme val="minor"/>
      </rPr>
      <t>2.10</t>
    </r>
  </si>
  <si>
    <r>
      <t xml:space="preserve">( - ) Contribuição para Assistência ou Previdência de Empregados </t>
    </r>
    <r>
      <rPr>
        <vertAlign val="superscript"/>
        <sz val="11"/>
        <color theme="1"/>
        <rFont val="Calibri"/>
        <family val="2"/>
        <scheme val="minor"/>
      </rPr>
      <t>2.11</t>
    </r>
  </si>
  <si>
    <t>( =) Resultado Líquido do Exercício 2.12</t>
  </si>
  <si>
    <r>
      <t xml:space="preserve">( =) Resultado Líquido do Exercício </t>
    </r>
    <r>
      <rPr>
        <vertAlign val="superscript"/>
        <sz val="11"/>
        <color theme="1"/>
        <rFont val="Calibri"/>
        <family val="2"/>
        <scheme val="minor"/>
      </rPr>
      <t>2.12</t>
    </r>
  </si>
  <si>
    <r>
      <t xml:space="preserve">( + ) Receitas Financeiras </t>
    </r>
    <r>
      <rPr>
        <vertAlign val="superscript"/>
        <sz val="11"/>
        <color theme="1"/>
        <rFont val="Calibri"/>
        <family val="2"/>
        <scheme val="minor"/>
      </rPr>
      <t>2.7</t>
    </r>
  </si>
  <si>
    <t>x</t>
  </si>
  <si>
    <t xml:space="preserve">              </t>
  </si>
  <si>
    <t>...................................................................................................................</t>
  </si>
  <si>
    <t>( + ) Receitas Não Operacionais 2.9</t>
  </si>
  <si>
    <t>( - ) Despesas Não Operacionais 2.10</t>
  </si>
  <si>
    <t>( - ) Contribuição para Assistência ou Previdência de Empregados 2.11</t>
  </si>
  <si>
    <t>( + ) Receitas Financeiras 2.7</t>
  </si>
  <si>
    <t xml:space="preserve"> Exportar o arquivo do tesouro gerencial  conforme a figura abaixo:</t>
  </si>
  <si>
    <t>Nota 1º Trimestre</t>
  </si>
  <si>
    <t>Nota 2º Trimestre</t>
  </si>
  <si>
    <t>Nota 3º Trimestre</t>
  </si>
  <si>
    <t>Nota 4º Trimestre</t>
  </si>
  <si>
    <t>EMPRESA XYZ</t>
  </si>
  <si>
    <t>ENDEREÇO</t>
  </si>
  <si>
    <t>CNPJ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</si>
</sst>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_ ;\-#,##0.00\ "/>
    <numFmt numFmtId="165" formatCode="#,##0.00_ ;\(#,##0.00\ \)"/>
  </numFmts>
  <fonts count="7" x14ac:knownFonts="1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" fontId="0" fillId="0" borderId="0" xfId="0" applyNumberFormat="1" applyAlignment="1">
      <alignment horizontal="center"/>
    </xf>
    <xf numFmtId="164" fontId="0" fillId="0" borderId="0" xfId="0" applyNumberFormat="1"/>
    <xf numFmtId="0" fontId="2" fillId="0" borderId="0" xfId="0" applyFont="1"/>
    <xf numFmtId="0" fontId="4" fillId="0" borderId="0" xfId="0" applyFont="1"/>
    <xf numFmtId="0" fontId="5" fillId="0" borderId="9" xfId="0" applyFont="1" applyBorder="1" applyAlignment="1">
      <alignment horizontal="center" vertical="center"/>
    </xf>
    <xf numFmtId="0" fontId="2" fillId="0" borderId="1" xfId="0" applyFont="1" applyBorder="1"/>
    <xf numFmtId="0" fontId="2" fillId="0" borderId="4" xfId="0" applyFont="1" applyBorder="1"/>
    <xf numFmtId="0" fontId="2" fillId="0" borderId="6" xfId="0" applyFont="1" applyBorder="1"/>
    <xf numFmtId="165" fontId="2" fillId="0" borderId="11" xfId="0" applyNumberFormat="1" applyFont="1" applyBorder="1"/>
    <xf numFmtId="165" fontId="2" fillId="0" borderId="12" xfId="0" applyNumberFormat="1" applyFont="1" applyBorder="1"/>
    <xf numFmtId="0" fontId="2" fillId="0" borderId="12" xfId="0" applyFont="1" applyBorder="1"/>
    <xf numFmtId="165" fontId="2" fillId="0" borderId="13" xfId="0" applyNumberFormat="1" applyFont="1" applyBorder="1"/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/>
    <xf numFmtId="0" fontId="0" fillId="0" borderId="0" xfId="0" applyAlignment="1">
      <alignment horizontal="center"/>
    </xf>
    <xf numFmtId="4" fontId="2" fillId="0" borderId="4" xfId="0" applyNumberFormat="1" applyFont="1" applyBorder="1"/>
    <xf numFmtId="0" fontId="4" fillId="2" borderId="10" xfId="0" applyFont="1" applyFill="1" applyBorder="1" applyAlignment="1" applyProtection="1">
      <alignment horizontal="center" vertical="center"/>
      <protection locked="0"/>
    </xf>
    <xf numFmtId="0" fontId="4" fillId="2" borderId="10" xfId="0" applyFont="1" applyFill="1" applyBorder="1" applyAlignment="1" applyProtection="1">
      <alignment horizontal="center" vertical="center" shrinkToFit="1"/>
      <protection locked="0"/>
    </xf>
    <xf numFmtId="0" fontId="4" fillId="2" borderId="10" xfId="0" quotePrefix="1" applyFont="1" applyFill="1" applyBorder="1" applyAlignment="1" applyProtection="1">
      <alignment horizontal="center" vertical="center" shrinkToFit="1"/>
      <protection locked="0"/>
    </xf>
    <xf numFmtId="0" fontId="4" fillId="0" borderId="0" xfId="0" applyFont="1" applyAlignment="1" applyProtection="1">
      <alignment shrinkToFit="1"/>
      <protection locked="0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 applyProtection="1">
      <alignment horizontal="center" shrinkToFit="1"/>
      <protection locked="0"/>
    </xf>
    <xf numFmtId="165" fontId="3" fillId="0" borderId="12" xfId="0" applyNumberFormat="1" applyFont="1" applyBorder="1"/>
    <xf numFmtId="0" fontId="3" fillId="0" borderId="4" xfId="0" applyFont="1" applyBorder="1"/>
    <xf numFmtId="9" fontId="0" fillId="0" borderId="0" xfId="1" applyFont="1" applyAlignment="1">
      <alignment horizontal="center"/>
    </xf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vertical="center"/>
    </xf>
    <xf numFmtId="1" fontId="0" fillId="0" borderId="0" xfId="0" applyNumberForma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0" xfId="0" applyFont="1"/>
  </cellXfs>
  <cellStyles count="2">
    <cellStyle name="Normal" xfId="0" builtinId="0"/>
    <cellStyle name="Porcentagem" xfId="1" builtinId="5"/>
  </cellStyles>
  <dxfs count="94"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numFmt numFmtId="0" formatCode="General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" formatCode="0"/>
      <alignment horizontal="center" vertical="bottom" textRotation="0" wrapText="0" indent="0" justifyLastLine="0" shrinkToFit="0" readingOrder="0"/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5" tint="0.39997558519241921"/>
        </patternFill>
      </fill>
      <alignment vertical="center" textRotation="0" indent="0" justifyLastLine="0" shrinkToFit="0" readingOrder="0"/>
    </dxf>
    <dxf>
      <numFmt numFmtId="0" formatCode="General"/>
      <fill>
        <patternFill patternType="solid">
          <fgColor indexed="64"/>
          <bgColor theme="5" tint="0.39997558519241921"/>
        </patternFill>
      </fill>
      <alignment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13" formatCode="0%"/>
      <alignment horizontal="center" textRotation="0" wrapText="0" indent="0" justifyLastLine="0" shrinkToFit="0" readingOrder="0"/>
    </dxf>
    <dxf>
      <numFmt numFmtId="13" formatCode="0%"/>
      <alignment horizontal="center" textRotation="0" wrapText="0" indent="0" justifyLastLine="0" shrinkToFit="0" readingOrder="0"/>
    </dxf>
    <dxf>
      <numFmt numFmtId="13" formatCode="0%"/>
      <alignment horizontal="center" textRotation="0" wrapText="0" indent="0" justifyLastLine="0" shrinkToFit="0" readingOrder="0"/>
    </dxf>
    <dxf>
      <numFmt numFmtId="13" formatCode="0%"/>
      <alignment horizontal="center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0" formatCode="General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Calibri"/>
        <scheme val="none"/>
      </font>
      <alignment horizontal="center" vertical="bottom" textRotation="0" wrapText="0" indent="0" justifyLastLine="0" shrinkToFit="1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0" indent="0" justifyLastLine="0" shrinkToFit="1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1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0" indent="0" justifyLastLine="0" shrinkToFit="1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0" indent="0" justifyLastLine="0" shrinkToFit="1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495299</xdr:colOff>
      <xdr:row>4</xdr:row>
      <xdr:rowOff>114300</xdr:rowOff>
    </xdr:from>
    <xdr:to>
      <xdr:col>5</xdr:col>
      <xdr:colOff>161924</xdr:colOff>
      <xdr:row>6</xdr:row>
      <xdr:rowOff>104775</xdr:rowOff>
    </xdr:to>
    <xdr:sp macro="[0]!importarDadosDRE" textlink="">
      <xdr:nvSpPr>
        <xdr:cNvPr id="2" name="Retângulo de cantos arredondados 1"/>
        <xdr:cNvSpPr/>
      </xdr:nvSpPr>
      <xdr:spPr>
        <a:xfrm>
          <a:off x="495299" y="876300"/>
          <a:ext cx="2714625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Importar</a:t>
          </a:r>
          <a:r>
            <a:rPr lang="pt-BR" sz="1600" baseline="0"/>
            <a:t> Dados</a:t>
          </a:r>
          <a:endParaRPr lang="pt-BR" sz="1600"/>
        </a:p>
      </xdr:txBody>
    </xdr:sp>
    <xdr:clientData/>
  </xdr:twoCellAnchor>
  <xdr:twoCellAnchor editAs="oneCell">
    <xdr:from>
      <xdr:col>0</xdr:col>
      <xdr:colOff>85725</xdr:colOff>
      <xdr:row>12</xdr:row>
      <xdr:rowOff>47625</xdr:rowOff>
    </xdr:from>
    <xdr:to>
      <xdr:col>11</xdr:col>
      <xdr:colOff>542925</xdr:colOff>
      <xdr:row>30</xdr:row>
      <xdr:rowOff>19050</xdr:rowOff>
    </xdr:to>
    <xdr:pic>
      <xdr:nvPicPr>
        <xdr:cNvPr id="3" name="Imagem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2333625"/>
          <a:ext cx="7162800" cy="340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77</xdr:row>
      <xdr:rowOff>54428</xdr:rowOff>
    </xdr:from>
    <xdr:ext cx="8572500" cy="609013"/>
    <xdr:sp macro="" textlink="">
      <xdr:nvSpPr>
        <xdr:cNvPr id="3" name="CaixaDeTexto 2"/>
        <xdr:cNvSpPr txBox="1"/>
      </xdr:nvSpPr>
      <xdr:spPr>
        <a:xfrm>
          <a:off x="3787588" y="15619399"/>
          <a:ext cx="8572500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/>
            <a:t>JOSE DA SILVA			MARIA OLIVIERA	</a:t>
          </a:r>
          <a:r>
            <a:rPr lang="pt-BR" sz="1100" baseline="0"/>
            <a:t>		GLEIDISTTONE TEIXIEIRA</a:t>
          </a:r>
        </a:p>
        <a:p>
          <a:r>
            <a:rPr lang="pt-BR" sz="1100"/>
            <a:t>Presidente			Diretora				Diretor		</a:t>
          </a:r>
        </a:p>
        <a:p>
          <a:r>
            <a:rPr lang="pt-BR" sz="1100"/>
            <a:t>CPF: XXX.XXX.XXX-XX		CPF: 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XXX.XXX.XXX-XX</a:t>
          </a:r>
          <a:r>
            <a:rPr lang="pt-BR" sz="1100"/>
            <a:t>			CPF:  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XXX.XXX.XXX-XX</a:t>
          </a:r>
          <a:endParaRPr lang="pt-BR" sz="1100"/>
        </a:p>
      </xdr:txBody>
    </xdr:sp>
    <xdr:clientData/>
  </xdr:oneCellAnchor>
  <xdr:oneCellAnchor>
    <xdr:from>
      <xdr:col>4</xdr:col>
      <xdr:colOff>31377</xdr:colOff>
      <xdr:row>83</xdr:row>
      <xdr:rowOff>162004</xdr:rowOff>
    </xdr:from>
    <xdr:ext cx="8509747" cy="609013"/>
    <xdr:sp macro="" textlink="">
      <xdr:nvSpPr>
        <xdr:cNvPr id="4" name="CaixaDeTexto 3"/>
        <xdr:cNvSpPr txBox="1"/>
      </xdr:nvSpPr>
      <xdr:spPr>
        <a:xfrm>
          <a:off x="3818965" y="16937210"/>
          <a:ext cx="8509747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/>
            <a:t>JOSE DA SILVA			MARIA OLIVIERA		</a:t>
          </a:r>
          <a:r>
            <a:rPr lang="pt-BR" sz="1100" baseline="0"/>
            <a:t>	GLEIDISTTONE TEIXIEIRA</a:t>
          </a:r>
        </a:p>
        <a:p>
          <a:r>
            <a:rPr lang="pt-BR" sz="1100"/>
            <a:t>Presidente			Diretora				Diretor		</a:t>
          </a:r>
        </a:p>
        <a:p>
          <a:r>
            <a:rPr lang="pt-BR" sz="1100"/>
            <a:t>CPF: XXX.XXX.XXX-XX		CPF: 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XXX.XXX.XXX-XX</a:t>
          </a:r>
          <a:r>
            <a:rPr lang="pt-BR" sz="1100"/>
            <a:t>			CPF:  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XXX.XXX.XXX-XX</a:t>
          </a:r>
          <a:endParaRPr lang="pt-BR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75</xdr:row>
      <xdr:rowOff>0</xdr:rowOff>
    </xdr:from>
    <xdr:ext cx="8572500" cy="609013"/>
    <xdr:sp macro="" textlink="">
      <xdr:nvSpPr>
        <xdr:cNvPr id="4" name="CaixaDeTexto 3"/>
        <xdr:cNvSpPr txBox="1"/>
      </xdr:nvSpPr>
      <xdr:spPr>
        <a:xfrm>
          <a:off x="3787588" y="15161559"/>
          <a:ext cx="8572500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/>
            <a:t>JOSE DA SILVA			MARIA OLIVIERA	</a:t>
          </a:r>
          <a:r>
            <a:rPr lang="pt-BR" sz="1100" baseline="0"/>
            <a:t>		GLEIDISTTONE TEIXIEIRA</a:t>
          </a:r>
        </a:p>
        <a:p>
          <a:r>
            <a:rPr lang="pt-BR" sz="1100"/>
            <a:t>Presidente			Diretora				Diretor		</a:t>
          </a:r>
        </a:p>
        <a:p>
          <a:r>
            <a:rPr lang="pt-BR" sz="1100"/>
            <a:t>CPF: XXX.XXX.XXX-XX		CPF: 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XXX.XXX.XXX-XX</a:t>
          </a:r>
          <a:r>
            <a:rPr lang="pt-BR" sz="1100"/>
            <a:t>			CPF:  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XXX.XXX.XXX-XX</a:t>
          </a:r>
          <a:endParaRPr lang="pt-BR" sz="1100"/>
        </a:p>
      </xdr:txBody>
    </xdr:sp>
    <xdr:clientData/>
  </xdr:oneCellAnchor>
  <xdr:oneCellAnchor>
    <xdr:from>
      <xdr:col>4</xdr:col>
      <xdr:colOff>31377</xdr:colOff>
      <xdr:row>81</xdr:row>
      <xdr:rowOff>107576</xdr:rowOff>
    </xdr:from>
    <xdr:ext cx="8509747" cy="609013"/>
    <xdr:sp macro="" textlink="">
      <xdr:nvSpPr>
        <xdr:cNvPr id="5" name="CaixaDeTexto 4"/>
        <xdr:cNvSpPr txBox="1"/>
      </xdr:nvSpPr>
      <xdr:spPr>
        <a:xfrm>
          <a:off x="3818965" y="16479370"/>
          <a:ext cx="8509747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/>
            <a:t>JOSE DA SILVA			MARIA OLIVIERA		</a:t>
          </a:r>
          <a:r>
            <a:rPr lang="pt-BR" sz="1100" baseline="0"/>
            <a:t>	GLEIDISTTONE TEIXIEIRA</a:t>
          </a:r>
        </a:p>
        <a:p>
          <a:r>
            <a:rPr lang="pt-BR" sz="1100"/>
            <a:t>Presidente			Diretora				Diretor		</a:t>
          </a:r>
        </a:p>
        <a:p>
          <a:r>
            <a:rPr lang="pt-BR" sz="1100"/>
            <a:t>CPF: XXX.XXX.XXX-XX		CPF: 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XXX.XXX.XXX-XX</a:t>
          </a:r>
          <a:r>
            <a:rPr lang="pt-BR" sz="1100"/>
            <a:t>			CPF:  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XXX.XXX.XXX-XX</a:t>
          </a:r>
          <a:endParaRPr lang="pt-BR" sz="1100"/>
        </a:p>
      </xdr:txBody>
    </xdr:sp>
    <xdr:clientData/>
  </xdr:oneCellAnchor>
</xdr:wsDr>
</file>

<file path=xl/tables/table1.xml><?xml version="1.0" encoding="utf-8"?>
<table xmlns="http://schemas.openxmlformats.org/spreadsheetml/2006/main" id="1" name="tb_DRETri" displayName="tb_DRETri" ref="B10:C72" totalsRowShown="0" headerRowDxfId="93" dataDxfId="92">
  <tableColumns count="2">
    <tableColumn id="1" name="Descrição Contas DRE" dataDxfId="91"/>
    <tableColumn id="2" name="SUB" dataDxfId="90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12" name="tb_DRETriAcum" displayName="tb_DRETriAcum" ref="B10:C70" totalsRowShown="0" headerRowDxfId="89">
  <tableColumns count="2">
    <tableColumn id="1" name="Descrição Contas DRE" dataDxfId="88"/>
    <tableColumn id="2" name="SUB" dataDxfId="87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9" name="tb_BaseDados" displayName="tb_BaseDados" ref="A1:S33" totalsRowShown="0" headerRowDxfId="86">
  <autoFilter ref="A1:S33"/>
  <tableColumns count="19">
    <tableColumn id="1" name="Conta Contábil" dataDxfId="24"/>
    <tableColumn id="2" name="Descrição"/>
    <tableColumn id="3" name="Classificação" dataDxfId="7">
      <calculatedColumnFormula>IF(NOT(ISERROR(VLOOKUP(tb_BaseDados[[#This Row],[Conta Contábil]],tb_ClassConta[[Conta Contábil]:[Classificação]],3,FALSE))),VLOOKUP(tb_BaseDados[[#This Row],[Conta Contábil]],tb_ClassConta[[Conta Contábil]:[Classificação]],3,FALSE),"FAVOR CLASSIFICAR!!!")</calculatedColumnFormula>
    </tableColumn>
    <tableColumn id="4" name="Janeiro" dataDxfId="23"/>
    <tableColumn id="5" name="Fevereiro" dataDxfId="22"/>
    <tableColumn id="6" name="Março" dataDxfId="21"/>
    <tableColumn id="7" name="Abril" dataDxfId="20"/>
    <tableColumn id="8" name="Maio" dataDxfId="19"/>
    <tableColumn id="9" name="Junho" dataDxfId="18"/>
    <tableColumn id="10" name="Julho" dataDxfId="17"/>
    <tableColumn id="11" name="Agosto" dataDxfId="16"/>
    <tableColumn id="12" name="Setembro" dataDxfId="15"/>
    <tableColumn id="13" name="Outubro" dataDxfId="14"/>
    <tableColumn id="14" name="Novembro" dataDxfId="13"/>
    <tableColumn id="15" name="Dezembro" dataDxfId="12"/>
    <tableColumn id="16" name="1º TRIMESTRE" dataDxfId="11">
      <calculatedColumnFormula>SUM(tb_BaseDados[[#This Row],[Janeiro]:[Março]])</calculatedColumnFormula>
    </tableColumn>
    <tableColumn id="17" name="2º TRIMESTRE" dataDxfId="10">
      <calculatedColumnFormula>SUM(tb_BaseDados[[#This Row],[Abril]:[Junho]])</calculatedColumnFormula>
    </tableColumn>
    <tableColumn id="18" name="3º TRIMESTRE" dataDxfId="9">
      <calculatedColumnFormula>SUM(tb_BaseDados[[#This Row],[Julho]:[Setembro]])</calculatedColumnFormula>
    </tableColumn>
    <tableColumn id="19" name="4º TRIMESTRE" dataDxfId="8">
      <calculatedColumnFormula>SUM(tb_BaseDados[[#This Row],[Outubro]:[Dezembro]])</calculatedColumnFormula>
    </tableColumn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id="4" name="tb_BaseDados_Anterior" displayName="tb_BaseDados_Anterior" ref="A1:S33" totalsRowShown="0" headerRowDxfId="85">
  <autoFilter ref="A1:S33"/>
  <tableColumns count="19">
    <tableColumn id="1" name="Conta Contábil" dataDxfId="84"/>
    <tableColumn id="2" name="Descrição"/>
    <tableColumn id="3" name="Classificação" dataDxfId="83">
      <calculatedColumnFormula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calculatedColumnFormula>
    </tableColumn>
    <tableColumn id="4" name="Janeiro" dataDxfId="82"/>
    <tableColumn id="5" name="Fevereiro" dataDxfId="81"/>
    <tableColumn id="6" name="Março" dataDxfId="80"/>
    <tableColumn id="7" name="Abril" dataDxfId="79"/>
    <tableColumn id="8" name="Maio" dataDxfId="78"/>
    <tableColumn id="9" name="Junho" dataDxfId="77"/>
    <tableColumn id="10" name="Julho" dataDxfId="76"/>
    <tableColumn id="11" name="Agosto" dataDxfId="75"/>
    <tableColumn id="12" name="Setembro" dataDxfId="74"/>
    <tableColumn id="13" name="Outubro" dataDxfId="73"/>
    <tableColumn id="14" name="Novembro" dataDxfId="72"/>
    <tableColumn id="15" name="Dezembro" dataDxfId="71"/>
    <tableColumn id="16" name="1º TRIMESTRE" dataDxfId="70">
      <calculatedColumnFormula>SUM(tb_BaseDados_Anterior[[#This Row],[Janeiro]:[Março]])</calculatedColumnFormula>
    </tableColumn>
    <tableColumn id="17" name="2º TRIMESTRE" dataDxfId="69">
      <calculatedColumnFormula>SUM(tb_BaseDados_Anterior[[#This Row],[Abril]:[Junho]])</calculatedColumnFormula>
    </tableColumn>
    <tableColumn id="18" name="3º TRIMESTRE" dataDxfId="68">
      <calculatedColumnFormula>SUM(tb_BaseDados_Anterior[[#This Row],[Julho]:[Setembro]])</calculatedColumnFormula>
    </tableColumn>
    <tableColumn id="19" name="4º TRIMESTRE" dataDxfId="67">
      <calculatedColumnFormula>SUM(tb_BaseDados_Anterior[[#This Row],[Outubro]:[Dezembro]])</calculatedColumnFormula>
    </tableColumn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id="5" name="tb_ClassConta" displayName="tb_ClassConta" ref="A1:S33" totalsRowShown="0" headerRowDxfId="66">
  <autoFilter ref="A1:S33"/>
  <tableColumns count="19">
    <tableColumn id="1" name="Conta Contábil" dataDxfId="65"/>
    <tableColumn id="2" name="Descrição"/>
    <tableColumn id="3" name="Classificação"/>
    <tableColumn id="4" name="Janeiro" dataDxfId="64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5" name="Fevereiro" dataDxfId="63" dataCellStyle="Porcentagem">
      <calculatedColumnFormula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calculatedColumnFormula>
    </tableColumn>
    <tableColumn id="6" name="Março" dataDxfId="62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7" name="Abril" dataDxfId="61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8" name="Maio" dataDxfId="60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9" name="Junho" dataDxfId="59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0" name="Julho" dataDxfId="58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1" name="Agosto" dataDxfId="57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2" name="Setembro" dataDxfId="56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3" name="Outubro" dataDxfId="55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4" name="Novembro" dataDxfId="54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5" name="Dezembro" dataDxfId="53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6" name="1º TRIMESTRE" dataDxfId="52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7" name="2º TRIMESTRE" dataDxfId="51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8" name="3º TRIMESTRE" dataDxfId="50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9" name="4º TRIMESTRE" dataDxfId="49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2" name="Tabela2" displayName="Tabela2" ref="A1:G3" totalsRowShown="0" headerRowDxfId="48" dataDxfId="47">
  <autoFilter ref="A1:G3"/>
  <tableColumns count="7">
    <tableColumn id="1" name="Conta Contábil" dataDxfId="46"/>
    <tableColumn id="2" name="Descrição" dataDxfId="45">
      <calculatedColumnFormula>IF(NOT(ISERROR(VLOOKUP(Tabela2[[#This Row],[Conta Contábil]],tb_ClassConta[[Conta Contábil]:[Classificação]],2,FALSE))),VLOOKUP(Tabela2[[#This Row],[Conta Contábil]],tb_ClassConta[[Conta Contábil]:[Classificação]],2,FALSE),"")</calculatedColumnFormula>
    </tableColumn>
    <tableColumn id="8" name="Classificação" dataDxfId="44">
      <calculatedColumnFormula>IF(NOT(ISERROR(VLOOKUP(Tabela2[[#This Row],[Conta Contábil]],tb_ClassConta[[Conta Contábil]:[Classificação]],3,FALSE))),VLOOKUP(Tabela2[[#This Row],[Conta Contábil]],tb_ClassConta[[Conta Contábil]:[Classificação]],3,FALSE),"")</calculatedColumnFormula>
    </tableColumn>
    <tableColumn id="3" name="Nota 1º Trimestre" dataDxfId="43"/>
    <tableColumn id="4" name="Nota 2º Trimestre" dataDxfId="42"/>
    <tableColumn id="5" name="Nota 3º Trimestre" dataDxfId="41"/>
    <tableColumn id="6" name="Nota 4º Trimestre" dataDxfId="40"/>
  </tableColumns>
  <tableStyleInfo name="TableStyleLight17" showFirstColumn="0" showLastColumn="0" showRowStripes="1" showColumnStripes="0"/>
</table>
</file>

<file path=xl/tables/table7.xml><?xml version="1.0" encoding="utf-8"?>
<table xmlns="http://schemas.openxmlformats.org/spreadsheetml/2006/main" id="6" name="tb_DescDRE" displayName="tb_DescDRE" ref="A1:A26" totalsRowShown="0" headerRowDxfId="39">
  <tableColumns count="1">
    <tableColumn id="2" name="CLASSIFICAÇÃO DE DRE" dataDxfId="38"/>
  </tableColumns>
  <tableStyleInfo name="TableStyleLight19" showFirstColumn="0" showLastColumn="0" showRowStripes="1" showColumnStripes="0"/>
</table>
</file>

<file path=xl/tables/table8.xml><?xml version="1.0" encoding="utf-8"?>
<table xmlns="http://schemas.openxmlformats.org/spreadsheetml/2006/main" id="7" name="tb_Mes" displayName="tb_Mes" ref="C1:C13" totalsRowShown="0" headerRowDxfId="37" dataDxfId="36">
  <autoFilter ref="C1:C13"/>
  <tableColumns count="1">
    <tableColumn id="1" name="MESES" dataDxfId="35"/>
  </tableColumns>
  <tableStyleInfo name="TableStyleLight19" showFirstColumn="0" showLastColumn="0" showRowStripes="1" showColumnStripes="0"/>
</table>
</file>

<file path=xl/tables/table9.xml><?xml version="1.0" encoding="utf-8"?>
<table xmlns="http://schemas.openxmlformats.org/spreadsheetml/2006/main" id="10" name="tb_Trimestre" displayName="tb_Trimestre" ref="E1:F5" totalsRowShown="0" headerRowDxfId="34" dataDxfId="33">
  <autoFilter ref="E1:F5"/>
  <tableColumns count="2">
    <tableColumn id="1" name="TRIMESTRE" dataDxfId="32"/>
    <tableColumn id="2" name="ÚLTIMO MÊS" dataDxfId="31"/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HOME"/>
  <dimension ref="A11"/>
  <sheetViews>
    <sheetView showGridLines="0" tabSelected="1" workbookViewId="0">
      <selection activeCell="K8" sqref="K8"/>
    </sheetView>
  </sheetViews>
  <sheetFormatPr defaultRowHeight="15" x14ac:dyDescent="0.25"/>
  <sheetData>
    <row r="11" spans="1:1" x14ac:dyDescent="0.25">
      <c r="A11" t="s">
        <v>120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5" tint="0.59999389629810485"/>
    <pageSetUpPr fitToPage="1"/>
  </sheetPr>
  <dimension ref="A1:K72"/>
  <sheetViews>
    <sheetView showGridLines="0" zoomScale="85" zoomScaleNormal="85" zoomScalePageLayoutView="55" workbookViewId="0"/>
  </sheetViews>
  <sheetFormatPr defaultColWidth="0" defaultRowHeight="15.75" x14ac:dyDescent="0.25"/>
  <cols>
    <col min="1" max="1" width="2.7109375" style="6" customWidth="1"/>
    <col min="2" max="2" width="40.7109375" style="7" customWidth="1"/>
    <col min="3" max="3" width="10.7109375" style="7" customWidth="1"/>
    <col min="4" max="4" width="2.7109375" style="6" customWidth="1"/>
    <col min="5" max="5" width="75.7109375" style="6" customWidth="1"/>
    <col min="6" max="7" width="25.7109375" style="6" customWidth="1"/>
    <col min="8" max="8" width="2.7109375" style="6" customWidth="1"/>
    <col min="9" max="11" width="0" style="6" hidden="1" customWidth="1"/>
    <col min="12" max="16384" width="9.140625" style="6" hidden="1"/>
  </cols>
  <sheetData>
    <row r="1" spans="2:7" ht="16.5" thickBot="1" x14ac:dyDescent="0.3">
      <c r="B1" s="8" t="s">
        <v>75</v>
      </c>
      <c r="C1" s="25"/>
      <c r="E1" s="37" t="s">
        <v>125</v>
      </c>
      <c r="F1" s="38"/>
      <c r="G1" s="39"/>
    </row>
    <row r="2" spans="2:7" x14ac:dyDescent="0.25">
      <c r="B2" s="21" t="s">
        <v>80</v>
      </c>
      <c r="C2" s="25"/>
      <c r="E2" s="40" t="s">
        <v>126</v>
      </c>
      <c r="F2" s="41"/>
      <c r="G2" s="42"/>
    </row>
    <row r="3" spans="2:7" x14ac:dyDescent="0.25">
      <c r="C3" s="25"/>
      <c r="E3" s="34" t="s">
        <v>127</v>
      </c>
      <c r="F3" s="35"/>
      <c r="G3" s="36"/>
    </row>
    <row r="4" spans="2:7" ht="16.5" thickBot="1" x14ac:dyDescent="0.3">
      <c r="B4" s="8" t="s">
        <v>62</v>
      </c>
      <c r="C4" s="25"/>
      <c r="E4" s="37"/>
      <c r="F4" s="38"/>
      <c r="G4" s="39"/>
    </row>
    <row r="5" spans="2:7" x14ac:dyDescent="0.25">
      <c r="B5" s="22">
        <v>2016</v>
      </c>
      <c r="C5" s="25"/>
      <c r="E5" s="40" t="str">
        <f>"DEMONSTRAÇÃO DO RESULTADO DOS EXERCÍCIOS FINDOS EM " &amp; TEXT(EOMONTH(DATEVALUE("1/"&amp;VLOOKUP(PERIODO,tb_Trimestre[[TRIMESTRE]:[ÚLTIMO MÊS]],2,FALSE)&amp;"/"&amp;ANO),0),"dd") &amp; " DE " &amp; VLOOKUP(PERIODO,tb_Trimestre[[TRIMESTRE]:[ÚLTIMO MÊS]],2,FALSE) &amp; " DE " &amp; ANO &amp; " E " &amp; ANO-1</f>
        <v>DEMONSTRAÇÃO DO RESULTADO DOS EXERCÍCIOS FINDOS EM 31 DE MARÇO DE 2016 E 2015</v>
      </c>
      <c r="F5" s="41"/>
      <c r="G5" s="42"/>
    </row>
    <row r="6" spans="2:7" x14ac:dyDescent="0.25">
      <c r="C6" s="25"/>
      <c r="E6" s="34"/>
      <c r="F6" s="35"/>
      <c r="G6" s="36"/>
    </row>
    <row r="7" spans="2:7" ht="16.5" thickBot="1" x14ac:dyDescent="0.3">
      <c r="B7" s="8" t="s">
        <v>61</v>
      </c>
      <c r="C7" s="8" t="s">
        <v>91</v>
      </c>
      <c r="E7" s="9"/>
      <c r="F7" s="16"/>
      <c r="G7" s="16"/>
    </row>
    <row r="8" spans="2:7" x14ac:dyDescent="0.25">
      <c r="B8" s="23" t="s">
        <v>115</v>
      </c>
      <c r="C8" s="23" t="s">
        <v>114</v>
      </c>
      <c r="E8" s="10"/>
      <c r="F8" s="17" t="str">
        <f>VLOOKUP(PERIODO,tb_Trimestre[[TRIMESTRE]:[ÚLTIMO MÊS]],2,FALSE) &amp; " / " &amp; ANO</f>
        <v>MARÇO / 2016</v>
      </c>
      <c r="G8" s="17" t="str">
        <f>VLOOKUP(PERIODO,tb_Trimestre[[TRIMESTRE]:[ÚLTIMO MÊS]],2,FALSE) &amp; " / " &amp; ANO-1</f>
        <v>MARÇO / 2015</v>
      </c>
    </row>
    <row r="9" spans="2:7" x14ac:dyDescent="0.25">
      <c r="B9" s="6"/>
      <c r="C9" s="25"/>
      <c r="E9" s="10"/>
      <c r="F9" s="17" t="s">
        <v>76</v>
      </c>
      <c r="G9" s="17" t="s">
        <v>76</v>
      </c>
    </row>
    <row r="10" spans="2:7" x14ac:dyDescent="0.25">
      <c r="B10" s="26" t="s">
        <v>49</v>
      </c>
      <c r="C10" s="26" t="s">
        <v>89</v>
      </c>
      <c r="E10" s="10"/>
      <c r="F10" s="18"/>
      <c r="G10" s="18"/>
    </row>
    <row r="11" spans="2:7" x14ac:dyDescent="0.25">
      <c r="B11" s="24" t="s">
        <v>79</v>
      </c>
      <c r="C11" s="27"/>
      <c r="E11" s="10" t="str">
        <f>IF(tb_DRETri[[#This Row],[Descrição Contas DRE]]&lt;&gt;"",IF(tb_DRETri[[#This Row],[SUB]]&lt;&gt;"",ESPACO,"")&amp;tb_DRETri[[#This Row],[Descrição Contas DRE]]&amp;COMPLEMENTO,"")</f>
        <v>( + ) Receitas com Vendas e Serviços 2.1...................................................................................................................</v>
      </c>
      <c r="F11" s="12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11" s="12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12" spans="2:7" x14ac:dyDescent="0.25">
      <c r="B12" s="24"/>
      <c r="C12" s="27"/>
      <c r="E12" s="10" t="str">
        <f>IF(tb_DRETri[[#This Row],[Descrição Contas DRE]]&lt;&gt;"",IF(tb_DRETri[[#This Row],[SUB]]&lt;&gt;"",ESPACO,"")&amp;tb_DRETri[[#This Row],[Descrição Contas DRE]]&amp;COMPLEMENTO,"")</f>
        <v/>
      </c>
      <c r="F12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12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13" spans="2:7" x14ac:dyDescent="0.25">
      <c r="B13" s="24" t="s">
        <v>77</v>
      </c>
      <c r="C13" s="27"/>
      <c r="E13" s="10" t="str">
        <f>IF(tb_DRETri[[#This Row],[Descrição Contas DRE]]&lt;&gt;"",IF(tb_DRETri[[#This Row],[SUB]]&lt;&gt;"",ESPACO,"")&amp;tb_DRETri[[#This Row],[Descrição Contas DRE]]&amp;COMPLEMENTO,"")</f>
        <v>( - ) Vendas Canceladas e Descontos Incondicionais 2.2...................................................................................................................</v>
      </c>
      <c r="F13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13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14" spans="2:7" x14ac:dyDescent="0.25">
      <c r="B14" s="24"/>
      <c r="C14" s="27"/>
      <c r="E14" s="10" t="str">
        <f>IF(tb_DRETri[[#This Row],[Descrição Contas DRE]]&lt;&gt;"",IF(tb_DRETri[[#This Row],[SUB]]&lt;&gt;"",ESPACO,"")&amp;tb_DRETri[[#This Row],[Descrição Contas DRE]]&amp;COMPLEMENTO,"")</f>
        <v/>
      </c>
      <c r="F14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14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15" spans="2:7" x14ac:dyDescent="0.25">
      <c r="B15" s="24" t="s">
        <v>78</v>
      </c>
      <c r="C15" s="27"/>
      <c r="E15" s="10" t="str">
        <f>IF(tb_DRETri[[#This Row],[Descrição Contas DRE]]&lt;&gt;"",IF(tb_DRETri[[#This Row],[SUB]]&lt;&gt;"",ESPACO,"")&amp;tb_DRETri[[#This Row],[Descrição Contas DRE]]&amp;COMPLEMENTO,"")</f>
        <v>( - ) Imposto s/ Vendas e Serviços e Outras Deduções 2.3...................................................................................................................</v>
      </c>
      <c r="F15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DRE]]))))*-1,"")</f>
        <v>0</v>
      </c>
      <c r="G15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DRE]]))))*-1,"")</f>
        <v>0</v>
      </c>
    </row>
    <row r="16" spans="2:7" x14ac:dyDescent="0.25">
      <c r="B16" s="24"/>
      <c r="C16" s="27"/>
      <c r="E16" s="10" t="str">
        <f>IF(tb_DRETri[[#This Row],[Descrição Contas DRE]]&lt;&gt;"",IF(tb_DRETri[[#This Row],[SUB]]&lt;&gt;"",ESPACO,"")&amp;tb_DRETri[[#This Row],[Descrição Contas DRE]]&amp;COMPLEMENTO,"")</f>
        <v/>
      </c>
      <c r="F16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16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17" spans="2:7" x14ac:dyDescent="0.25">
      <c r="B17" s="24" t="s">
        <v>92</v>
      </c>
      <c r="C17" s="27"/>
      <c r="E17" s="29" t="str">
        <f>IF(tb_DRETri[[#This Row],[Descrição Contas DRE]]&lt;&gt;"",IF(tb_DRETri[[#This Row],[SUB]]&lt;&gt;"",ESPACO,"")&amp;tb_DRETri[[#This Row],[Descrição Contas DRE]]&amp;COMPLEMENTO,"")</f>
        <v>( = ) Receita Líquida...................................................................................................................</v>
      </c>
      <c r="F17" s="28">
        <f>F11-F13-F15</f>
        <v>0</v>
      </c>
      <c r="G17" s="28">
        <f>G11-G13-G15</f>
        <v>0</v>
      </c>
    </row>
    <row r="18" spans="2:7" x14ac:dyDescent="0.25">
      <c r="B18" s="24"/>
      <c r="C18" s="27"/>
      <c r="E18" s="10" t="str">
        <f>IF(tb_DRETri[[#This Row],[Descrição Contas DRE]]&lt;&gt;"",IF(tb_DRETri[[#This Row],[SUB]]&lt;&gt;"",ESPACO,"")&amp;tb_DRETri[[#This Row],[Descrição Contas DRE]]&amp;COMPLEMENTO,"")</f>
        <v/>
      </c>
      <c r="F18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18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19" spans="2:7" x14ac:dyDescent="0.25">
      <c r="B19" s="24" t="s">
        <v>99</v>
      </c>
      <c r="C19" s="27"/>
      <c r="E19" s="10" t="str">
        <f>IF(tb_DRETri[[#This Row],[Descrição Contas DRE]]&lt;&gt;"",IF(tb_DRETri[[#This Row],[SUB]]&lt;&gt;"",ESPACO,"")&amp;tb_DRETri[[#This Row],[Descrição Contas DRE]]&amp;COMPLEMENTO,"")</f>
        <v>( - ) Custo das Mercadorias e Serviços Vendidos 2.4...................................................................................................................</v>
      </c>
      <c r="F19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19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20" spans="2:7" x14ac:dyDescent="0.25">
      <c r="B20" s="24"/>
      <c r="C20" s="27"/>
      <c r="E20" s="10" t="str">
        <f>IF(tb_DRETri[[#This Row],[Descrição Contas DRE]]&lt;&gt;"",IF(tb_DRETri[[#This Row],[SUB]]&lt;&gt;"",ESPACO,"")&amp;tb_DRETri[[#This Row],[Descrição Contas DRE]]&amp;COMPLEMENTO,"")</f>
        <v/>
      </c>
      <c r="F20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20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21" spans="2:7" x14ac:dyDescent="0.25">
      <c r="B21" s="24" t="s">
        <v>93</v>
      </c>
      <c r="C21" s="27"/>
      <c r="E21" s="29" t="str">
        <f>IF(tb_DRETri[[#This Row],[Descrição Contas DRE]]&lt;&gt;"",IF(tb_DRETri[[#This Row],[SUB]]&lt;&gt;"",ESPACO,"")&amp;tb_DRETri[[#This Row],[Descrição Contas DRE]]&amp;COMPLEMENTO,"")</f>
        <v>( = ) Lucro Bruto ...................................................................................................................</v>
      </c>
      <c r="F21" s="28">
        <f>F17-F19</f>
        <v>0</v>
      </c>
      <c r="G21" s="28">
        <f>G17-G19</f>
        <v>0</v>
      </c>
    </row>
    <row r="22" spans="2:7" x14ac:dyDescent="0.25">
      <c r="B22" s="24"/>
      <c r="C22" s="27"/>
      <c r="E22" s="10"/>
      <c r="F22" s="13"/>
      <c r="G22" s="13"/>
    </row>
    <row r="23" spans="2:7" x14ac:dyDescent="0.25">
      <c r="B23" s="24" t="s">
        <v>94</v>
      </c>
      <c r="C23" s="27"/>
      <c r="E23" s="10" t="str">
        <f>IF(tb_DRETri[[#This Row],[Descrição Contas DRE]]&lt;&gt;"",IF(tb_DRETri[[#This Row],[SUB]]&lt;&gt;"",ESPACO,"")&amp;tb_DRETri[[#This Row],[Descrição Contas DRE]]&amp;COMPLEMENTO,"")</f>
        <v>( + ) Receitas Operacionais 2.5...................................................................................................................</v>
      </c>
      <c r="F23" s="13">
        <f>SUM(F25:F29)</f>
        <v>527619.97273291915</v>
      </c>
      <c r="G23" s="13">
        <f>SUM(G25:G29)</f>
        <v>527619.97273291915</v>
      </c>
    </row>
    <row r="24" spans="2:7" x14ac:dyDescent="0.25">
      <c r="B24" s="24"/>
      <c r="C24" s="27"/>
      <c r="E24" s="10" t="str">
        <f>IF(tb_DRETri[[#This Row],[Descrição Contas DRE]]&lt;&gt;"",IF(tb_DRETri[[#This Row],[SUB]]&lt;&gt;"",ESPACO,"")&amp;tb_DRETri[[#This Row],[Descrição Contas DRE]]&amp;COMPLEMENTO,"")</f>
        <v/>
      </c>
      <c r="F24" s="14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24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25" spans="2:7" x14ac:dyDescent="0.25">
      <c r="B25" s="24" t="s">
        <v>100</v>
      </c>
      <c r="C25" s="27" t="s">
        <v>113</v>
      </c>
      <c r="E25" s="10" t="str">
        <f>IF(tb_DRETri[[#This Row],[Descrição Contas DRE]]&lt;&gt;"",IF(tb_DRETri[[#This Row],[SUB]]&lt;&gt;"",ESPACO,"")&amp;tb_DRETri[[#This Row],[Descrição Contas DRE]]&amp;COMPLEMENTO,"")</f>
        <v xml:space="preserve">              Repasse Recebido 2.5(a)...................................................................................................................</v>
      </c>
      <c r="F25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25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26" spans="2:7" x14ac:dyDescent="0.25">
      <c r="B26" s="24"/>
      <c r="C26" s="27"/>
      <c r="E26" s="10" t="str">
        <f>IF(tb_DRETri[[#This Row],[Descrição Contas DRE]]&lt;&gt;"",IF(tb_DRETri[[#This Row],[SUB]]&lt;&gt;"",ESPACO,"")&amp;tb_DRETri[[#This Row],[Descrição Contas DRE]]&amp;COMPLEMENTO,"")</f>
        <v/>
      </c>
      <c r="F26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26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27" spans="2:7" x14ac:dyDescent="0.25">
      <c r="B27" s="24" t="s">
        <v>101</v>
      </c>
      <c r="C27" s="27" t="s">
        <v>113</v>
      </c>
      <c r="E27" s="10" t="str">
        <f>IF(tb_DRETri[[#This Row],[Descrição Contas DRE]]&lt;&gt;"",IF(tb_DRETri[[#This Row],[SUB]]&lt;&gt;"",ESPACO,"")&amp;tb_DRETri[[#This Row],[Descrição Contas DRE]]&amp;COMPLEMENTO,"")</f>
        <v xml:space="preserve">              Outras Receitas Operacionais 2.5(b)...................................................................................................................</v>
      </c>
      <c r="F27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-417.08152617568766</v>
      </c>
      <c r="G27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-417.08152617568766</v>
      </c>
    </row>
    <row r="28" spans="2:7" x14ac:dyDescent="0.25">
      <c r="B28" s="24"/>
      <c r="C28" s="27"/>
      <c r="E28" s="10" t="str">
        <f>IF(tb_DRETri[[#This Row],[Descrição Contas DRE]]&lt;&gt;"",IF(tb_DRETri[[#This Row],[SUB]]&lt;&gt;"",ESPACO,"")&amp;tb_DRETri[[#This Row],[Descrição Contas DRE]]&amp;COMPLEMENTO,"")</f>
        <v/>
      </c>
      <c r="F28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28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29" spans="2:7" x14ac:dyDescent="0.25">
      <c r="B29" s="24" t="s">
        <v>102</v>
      </c>
      <c r="C29" s="27" t="s">
        <v>113</v>
      </c>
      <c r="E29" s="10" t="str">
        <f>IF(tb_DRETri[[#This Row],[Descrição Contas DRE]]&lt;&gt;"",IF(tb_DRETri[[#This Row],[SUB]]&lt;&gt;"",ESPACO,"")&amp;tb_DRETri[[#This Row],[Descrição Contas DRE]]&amp;COMPLEMENTO,"")</f>
        <v xml:space="preserve">              Convênios 2.5(c) ...................................................................................................................</v>
      </c>
      <c r="F29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528037.05425909488</v>
      </c>
      <c r="G29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528037.05425909488</v>
      </c>
    </row>
    <row r="30" spans="2:7" x14ac:dyDescent="0.25">
      <c r="B30" s="24"/>
      <c r="C30" s="27"/>
      <c r="E30" s="10" t="str">
        <f>IF(tb_DRETri[[#This Row],[Descrição Contas DRE]]&lt;&gt;"",IF(tb_DRETri[[#This Row],[SUB]]&lt;&gt;"",ESPACO,"")&amp;tb_DRETri[[#This Row],[Descrição Contas DRE]]&amp;COMPLEMENTO,"")</f>
        <v/>
      </c>
      <c r="F30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30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31" spans="2:7" x14ac:dyDescent="0.25">
      <c r="B31" s="24" t="s">
        <v>95</v>
      </c>
      <c r="C31" s="27"/>
      <c r="E31" s="10" t="str">
        <f>IF(tb_DRETri[[#This Row],[Descrição Contas DRE]]&lt;&gt;"",IF(tb_DRETri[[#This Row],[SUB]]&lt;&gt;"",ESPACO,"")&amp;tb_DRETri[[#This Row],[Descrição Contas DRE]]&amp;COMPLEMENTO,"")</f>
        <v>( - ) Despesas Operacionais 2.6...................................................................................................................</v>
      </c>
      <c r="F31" s="13">
        <f>SUM(F33:F37)</f>
        <v>0</v>
      </c>
      <c r="G31" s="13">
        <f>SUM(G33:G37)</f>
        <v>0</v>
      </c>
    </row>
    <row r="32" spans="2:7" x14ac:dyDescent="0.25">
      <c r="B32" s="24"/>
      <c r="C32" s="27"/>
      <c r="E32" s="10" t="str">
        <f>IF(tb_DRETri[[#This Row],[Descrição Contas DRE]]&lt;&gt;"",IF(tb_DRETri[[#This Row],[SUB]]&lt;&gt;"",ESPACO,"")&amp;tb_DRETri[[#This Row],[Descrição Contas DRE]]&amp;COMPLEMENTO,"")</f>
        <v/>
      </c>
      <c r="F32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32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33" spans="2:7" x14ac:dyDescent="0.25">
      <c r="B33" s="24" t="s">
        <v>103</v>
      </c>
      <c r="C33" s="27" t="s">
        <v>113</v>
      </c>
      <c r="E33" s="10" t="str">
        <f>IF(tb_DRETri[[#This Row],[Descrição Contas DRE]]&lt;&gt;"",IF(tb_DRETri[[#This Row],[SUB]]&lt;&gt;"",ESPACO,"")&amp;tb_DRETri[[#This Row],[Descrição Contas DRE]]&amp;COMPLEMENTO,"")</f>
        <v xml:space="preserve">              Despesas com Vendas 2.6(a)...................................................................................................................</v>
      </c>
      <c r="F33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33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34" spans="2:7" x14ac:dyDescent="0.25">
      <c r="B34" s="24"/>
      <c r="C34" s="27"/>
      <c r="E34" s="10" t="str">
        <f>IF(tb_DRETri[[#This Row],[Descrição Contas DRE]]&lt;&gt;"",IF(tb_DRETri[[#This Row],[SUB]]&lt;&gt;"",ESPACO,"")&amp;tb_DRETri[[#This Row],[Descrição Contas DRE]]&amp;COMPLEMENTO,"")</f>
        <v/>
      </c>
      <c r="F34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34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35" spans="2:7" x14ac:dyDescent="0.25">
      <c r="B35" s="24" t="s">
        <v>104</v>
      </c>
      <c r="C35" s="27" t="s">
        <v>113</v>
      </c>
      <c r="E35" s="10" t="str">
        <f>IF(tb_DRETri[[#This Row],[Descrição Contas DRE]]&lt;&gt;"",IF(tb_DRETri[[#This Row],[SUB]]&lt;&gt;"",ESPACO,"")&amp;tb_DRETri[[#This Row],[Descrição Contas DRE]]&amp;COMPLEMENTO,"")</f>
        <v xml:space="preserve">              Despesas Administrativas 2.6(b)...................................................................................................................</v>
      </c>
      <c r="F35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35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36" spans="2:7" x14ac:dyDescent="0.25">
      <c r="B36" s="24"/>
      <c r="C36" s="27"/>
      <c r="E36" s="10" t="str">
        <f>IF(tb_DRETri[[#This Row],[Descrição Contas DRE]]&lt;&gt;"",IF(tb_DRETri[[#This Row],[SUB]]&lt;&gt;"",ESPACO,"")&amp;tb_DRETri[[#This Row],[Descrição Contas DRE]]&amp;COMPLEMENTO,"")</f>
        <v/>
      </c>
      <c r="F36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36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37" spans="2:7" x14ac:dyDescent="0.25">
      <c r="B37" s="24" t="s">
        <v>105</v>
      </c>
      <c r="C37" s="27" t="s">
        <v>113</v>
      </c>
      <c r="E37" s="10" t="str">
        <f>IF(tb_DRETri[[#This Row],[Descrição Contas DRE]]&lt;&gt;"",IF(tb_DRETri[[#This Row],[SUB]]&lt;&gt;"",ESPACO,"")&amp;tb_DRETri[[#This Row],[Descrição Contas DRE]]&amp;COMPLEMENTO,"")</f>
        <v xml:space="preserve">              Despesas com Investimentos 2.6(c)...................................................................................................................</v>
      </c>
      <c r="F37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37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38" spans="2:7" x14ac:dyDescent="0.25">
      <c r="B38" s="24"/>
      <c r="C38" s="27"/>
      <c r="E38" s="10" t="str">
        <f>IF(tb_DRETri[[#This Row],[Descrição Contas DRE]]&lt;&gt;"",IF(tb_DRETri[[#This Row],[SUB]]&lt;&gt;"",ESPACO,"")&amp;tb_DRETri[[#This Row],[Descrição Contas DRE]]&amp;COMPLEMENTO,"")</f>
        <v/>
      </c>
      <c r="F38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38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39" spans="2:7" x14ac:dyDescent="0.25">
      <c r="B39" s="24" t="s">
        <v>96</v>
      </c>
      <c r="C39" s="27"/>
      <c r="E39" s="29" t="str">
        <f>IF(tb_DRETri[[#This Row],[Descrição Contas DRE]]&lt;&gt;"",IF(tb_DRETri[[#This Row],[SUB]]&lt;&gt;"",ESPACO,"")&amp;tb_DRETri[[#This Row],[Descrição Contas DRE]]&amp;COMPLEMENTO,"")</f>
        <v>(=) Resultado Antes das Receitas e Despesas Financeiras...................................................................................................................</v>
      </c>
      <c r="F39" s="28">
        <f>F21+F23-F31</f>
        <v>527619.97273291915</v>
      </c>
      <c r="G39" s="28">
        <f>G21+G23-G31</f>
        <v>527619.97273291915</v>
      </c>
    </row>
    <row r="40" spans="2:7" x14ac:dyDescent="0.25">
      <c r="B40" s="24"/>
      <c r="C40" s="27"/>
      <c r="E40" s="10" t="str">
        <f>IF(tb_DRETri[[#This Row],[Descrição Contas DRE]]&lt;&gt;"",IF(tb_DRETri[[#This Row],[SUB]]&lt;&gt;"",ESPACO,"")&amp;tb_DRETri[[#This Row],[Descrição Contas DRE]]&amp;COMPLEMENTO,"")</f>
        <v/>
      </c>
      <c r="F40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40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41" spans="2:7" x14ac:dyDescent="0.25">
      <c r="B41" s="24" t="s">
        <v>119</v>
      </c>
      <c r="C41" s="27"/>
      <c r="E41" s="10" t="str">
        <f>IF(tb_DRETri[[#This Row],[Descrição Contas DRE]]&lt;&gt;"",IF(tb_DRETri[[#This Row],[SUB]]&lt;&gt;"",ESPACO,"")&amp;tb_DRETri[[#This Row],[Descrição Contas DRE]]&amp;COMPLEMENTO,"")</f>
        <v>( + ) Receitas Financeiras 2.7...................................................................................................................</v>
      </c>
      <c r="F41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3652.4745252883758</v>
      </c>
      <c r="G41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3652.4745252883758</v>
      </c>
    </row>
    <row r="42" spans="2:7" x14ac:dyDescent="0.25">
      <c r="B42" s="24"/>
      <c r="C42" s="27"/>
      <c r="E42" s="10" t="str">
        <f>IF(tb_DRETri[[#This Row],[Descrição Contas DRE]]&lt;&gt;"",IF(tb_DRETri[[#This Row],[SUB]]&lt;&gt;"",ESPACO,"")&amp;tb_DRETri[[#This Row],[Descrição Contas DRE]]&amp;COMPLEMENTO,"")</f>
        <v/>
      </c>
      <c r="F42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42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43" spans="2:7" x14ac:dyDescent="0.25">
      <c r="B43" s="24" t="s">
        <v>106</v>
      </c>
      <c r="C43" s="27"/>
      <c r="E43" s="10" t="str">
        <f>IF(tb_DRETri[[#This Row],[Descrição Contas DRE]]&lt;&gt;"",IF(tb_DRETri[[#This Row],[SUB]]&lt;&gt;"",ESPACO,"")&amp;tb_DRETri[[#This Row],[Descrição Contas DRE]]&amp;COMPLEMENTO,"")</f>
        <v>( - ) Despesas Financeiras 2.8...................................................................................................................</v>
      </c>
      <c r="F43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43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44" spans="2:7" x14ac:dyDescent="0.25">
      <c r="B44" s="24"/>
      <c r="C44" s="27"/>
      <c r="E44" s="10" t="str">
        <f>IF(tb_DRETri[[#This Row],[Descrição Contas DRE]]&lt;&gt;"",IF(tb_DRETri[[#This Row],[SUB]]&lt;&gt;"",ESPACO,"")&amp;tb_DRETri[[#This Row],[Descrição Contas DRE]]&amp;COMPLEMENTO,"")</f>
        <v/>
      </c>
      <c r="F44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44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45" spans="2:7" x14ac:dyDescent="0.25">
      <c r="B45" s="24" t="s">
        <v>116</v>
      </c>
      <c r="C45" s="27"/>
      <c r="E45" s="10" t="str">
        <f>IF(tb_DRETri[[#This Row],[Descrição Contas DRE]]&lt;&gt;"",IF(tb_DRETri[[#This Row],[SUB]]&lt;&gt;"",ESPACO,"")&amp;tb_DRETri[[#This Row],[Descrição Contas DRE]]&amp;COMPLEMENTO,"")</f>
        <v>( + ) Receitas Não Operacionais 2.9...................................................................................................................</v>
      </c>
      <c r="F45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464038.44250221824</v>
      </c>
      <c r="G45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464038.44250221824</v>
      </c>
    </row>
    <row r="46" spans="2:7" x14ac:dyDescent="0.25">
      <c r="B46" s="24"/>
      <c r="C46" s="27"/>
      <c r="E46" s="10" t="str">
        <f>IF(tb_DRETri[[#This Row],[Descrição Contas DRE]]&lt;&gt;"",IF(tb_DRETri[[#This Row],[SUB]]&lt;&gt;"",ESPACO,"")&amp;tb_DRETri[[#This Row],[Descrição Contas DRE]]&amp;COMPLEMENTO,"")</f>
        <v/>
      </c>
      <c r="F46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46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47" spans="2:7" x14ac:dyDescent="0.25">
      <c r="B47" s="24" t="s">
        <v>117</v>
      </c>
      <c r="C47" s="27"/>
      <c r="E47" s="10" t="str">
        <f>IF(tb_DRETri[[#This Row],[Descrição Contas DRE]]&lt;&gt;"",IF(tb_DRETri[[#This Row],[SUB]]&lt;&gt;"",ESPACO,"")&amp;tb_DRETri[[#This Row],[Descrição Contas DRE]]&amp;COMPLEMENTO,"")</f>
        <v>( - ) Despesas Não Operacionais 2.10...................................................................................................................</v>
      </c>
      <c r="F47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47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48" spans="2:7" x14ac:dyDescent="0.25">
      <c r="B48" s="24"/>
      <c r="C48" s="27"/>
      <c r="E48" s="10" t="str">
        <f>IF(tb_DRETri[[#This Row],[Descrição Contas DRE]]&lt;&gt;"",IF(tb_DRETri[[#This Row],[SUB]]&lt;&gt;"",ESPACO,"")&amp;tb_DRETri[[#This Row],[Descrição Contas DRE]]&amp;COMPLEMENTO,"")</f>
        <v/>
      </c>
      <c r="F48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48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49" spans="2:7" x14ac:dyDescent="0.25">
      <c r="B49" s="24" t="s">
        <v>97</v>
      </c>
      <c r="C49" s="27"/>
      <c r="E49" s="29" t="str">
        <f>IF(tb_DRETri[[#This Row],[Descrição Contas DRE]]&lt;&gt;"",IF(tb_DRETri[[#This Row],[SUB]]&lt;&gt;"",ESPACO,"")&amp;tb_DRETri[[#This Row],[Descrição Contas DRE]]&amp;COMPLEMENTO,"")</f>
        <v>( =) Resultado do Período de Apuração...................................................................................................................</v>
      </c>
      <c r="F49" s="28">
        <f>F39+F41+F45-F43-F47</f>
        <v>995310.88976042578</v>
      </c>
      <c r="G49" s="28">
        <f>G39+G41+G45-G43-G47</f>
        <v>995310.88976042578</v>
      </c>
    </row>
    <row r="50" spans="2:7" x14ac:dyDescent="0.25">
      <c r="B50" s="24"/>
      <c r="C50" s="27"/>
      <c r="E50" s="10" t="str">
        <f>IF(tb_DRETri[[#This Row],[Descrição Contas DRE]]&lt;&gt;"",IF(tb_DRETri[[#This Row],[SUB]]&lt;&gt;"",ESPACO,"")&amp;tb_DRETri[[#This Row],[Descrição Contas DRE]]&amp;COMPLEMENTO,"")</f>
        <v/>
      </c>
      <c r="F50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50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51" spans="2:7" x14ac:dyDescent="0.25">
      <c r="B51" s="24" t="s">
        <v>118</v>
      </c>
      <c r="C51" s="27"/>
      <c r="E51" s="10" t="str">
        <f>IF(tb_DRETri[[#This Row],[Descrição Contas DRE]]&lt;&gt;"",IF(tb_DRETri[[#This Row],[SUB]]&lt;&gt;"",ESPACO,"")&amp;tb_DRETri[[#This Row],[Descrição Contas DRE]]&amp;COMPLEMENTO,"")</f>
        <v>( - ) Contribuição para Assistência ou Previdência de Empregados 2.11...................................................................................................................</v>
      </c>
      <c r="F51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51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52" spans="2:7" x14ac:dyDescent="0.25">
      <c r="B52" s="24"/>
      <c r="C52" s="27"/>
      <c r="E52" s="10" t="str">
        <f>IF(tb_DRETri[[#This Row],[Descrição Contas DRE]]&lt;&gt;"",IF(tb_DRETri[[#This Row],[SUB]]&lt;&gt;"",ESPACO,"")&amp;tb_DRETri[[#This Row],[Descrição Contas DRE]]&amp;COMPLEMENTO,"")</f>
        <v/>
      </c>
      <c r="F52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52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53" spans="2:7" x14ac:dyDescent="0.25">
      <c r="B53" s="24" t="s">
        <v>98</v>
      </c>
      <c r="C53" s="27"/>
      <c r="E53" s="29" t="str">
        <f>IF(tb_DRETri[[#This Row],[Descrição Contas DRE]]&lt;&gt;"",IF(tb_DRETri[[#This Row],[SUB]]&lt;&gt;"",ESPACO,"")&amp;tb_DRETri[[#This Row],[Descrição Contas DRE]]&amp;COMPLEMENTO,"")</f>
        <v>( =) Resultado Antes dos Tributos sobre o Lucro...................................................................................................................</v>
      </c>
      <c r="F53" s="28">
        <f>F49-F51</f>
        <v>995310.88976042578</v>
      </c>
      <c r="G53" s="28">
        <f>G49-G51</f>
        <v>995310.88976042578</v>
      </c>
    </row>
    <row r="54" spans="2:7" x14ac:dyDescent="0.25">
      <c r="B54" s="24"/>
      <c r="C54" s="27"/>
      <c r="E54" s="10" t="str">
        <f>IF(tb_DRETri[[#This Row],[Descrição Contas DRE]]&lt;&gt;"",IF(tb_DRETri[[#This Row],[SUB]]&lt;&gt;"",ESPACO,"")&amp;tb_DRETri[[#This Row],[Descrição Contas DRE]]&amp;COMPLEMENTO,"")</f>
        <v/>
      </c>
      <c r="F54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54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55" spans="2:7" x14ac:dyDescent="0.25">
      <c r="B55" s="24" t="s">
        <v>35</v>
      </c>
      <c r="C55" s="27"/>
      <c r="E55" s="10" t="str">
        <f>IF(tb_DRETri[[#This Row],[Descrição Contas DRE]]&lt;&gt;"",IF(tb_DRETri[[#This Row],[SUB]]&lt;&gt;"",ESPACO,"")&amp;tb_DRETri[[#This Row],[Descrição Contas DRE]]&amp;COMPLEMENTO,"")</f>
        <v>( - ) Contribuição Social sobre o Lucro...................................................................................................................</v>
      </c>
      <c r="F55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55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56" spans="2:7" x14ac:dyDescent="0.25">
      <c r="B56" s="24"/>
      <c r="C56" s="27"/>
      <c r="E56" s="10" t="str">
        <f>IF(tb_DRETri[[#This Row],[Descrição Contas DRE]]&lt;&gt;"",IF(tb_DRETri[[#This Row],[SUB]]&lt;&gt;"",ESPACO,"")&amp;tb_DRETri[[#This Row],[Descrição Contas DRE]]&amp;COMPLEMENTO,"")</f>
        <v/>
      </c>
      <c r="F56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56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57" spans="2:7" x14ac:dyDescent="0.25">
      <c r="B57" s="24" t="s">
        <v>36</v>
      </c>
      <c r="C57" s="27"/>
      <c r="E57" s="10" t="str">
        <f>IF(tb_DRETri[[#This Row],[Descrição Contas DRE]]&lt;&gt;"",IF(tb_DRETri[[#This Row],[SUB]]&lt;&gt;"",ESPACO,"")&amp;tb_DRETri[[#This Row],[Descrição Contas DRE]]&amp;COMPLEMENTO,"")</f>
        <v>( - ) Imposto de RendaPessoa Jurídica...................................................................................................................</v>
      </c>
      <c r="F57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57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58" spans="2:7" x14ac:dyDescent="0.25">
      <c r="B58" s="24"/>
      <c r="C58" s="27"/>
      <c r="E58" s="10" t="str">
        <f>IF(tb_DRETri[[#This Row],[Descrição Contas DRE]]&lt;&gt;"",IF(tb_DRETri[[#This Row],[SUB]]&lt;&gt;"",ESPACO,"")&amp;tb_DRETri[[#This Row],[Descrição Contas DRE]]&amp;COMPLEMENTO,"")</f>
        <v/>
      </c>
      <c r="F58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58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59" spans="2:7" x14ac:dyDescent="0.25">
      <c r="B59" s="24" t="s">
        <v>110</v>
      </c>
      <c r="C59" s="27"/>
      <c r="E59" s="29" t="str">
        <f>IF(tb_DRETri[[#This Row],[Descrição Contas DRE]]&lt;&gt;"",IF(tb_DRETri[[#This Row],[SUB]]&lt;&gt;"",ESPACO,"")&amp;tb_DRETri[[#This Row],[Descrição Contas DRE]]&amp;COMPLEMENTO,"")</f>
        <v>( =) Resultado Líquido do Exercício 2.12...................................................................................................................</v>
      </c>
      <c r="F59" s="28">
        <f>F53-F55-F57</f>
        <v>995310.88976042578</v>
      </c>
      <c r="G59" s="28">
        <f>G53-G55-G57</f>
        <v>995310.88976042578</v>
      </c>
    </row>
    <row r="60" spans="2:7" x14ac:dyDescent="0.25">
      <c r="B60" s="24"/>
      <c r="C60" s="27"/>
      <c r="E60" s="10" t="str">
        <f>IF(tb_DRETri[[#This Row],[Descrição Contas DRE]]&lt;&gt;"",IF(tb_DRETri[[#This Row],[SUB]]&lt;&gt;"",ESPACO,"")&amp;tb_DRETri[[#This Row],[Descrição Contas DRE]]&amp;COMPLEMENTO,"")</f>
        <v/>
      </c>
      <c r="F60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0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1" spans="2:7" x14ac:dyDescent="0.25">
      <c r="B61" s="24"/>
      <c r="C61" s="27"/>
      <c r="E61" s="10" t="str">
        <f>IF(tb_DRETri[[#This Row],[Descrição Contas DRE]]&lt;&gt;"",IF(tb_DRETri[[#This Row],[SUB]]&lt;&gt;"",ESPACO,"")&amp;tb_DRETri[[#This Row],[Descrição Contas DRE]]&amp;COMPLEMENTO,"")</f>
        <v/>
      </c>
      <c r="F61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1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2" spans="2:7" x14ac:dyDescent="0.25">
      <c r="B62" s="24"/>
      <c r="C62" s="27"/>
      <c r="E62" s="10" t="str">
        <f>IF(tb_DRETri[[#This Row],[Descrição Contas DRE]]&lt;&gt;"",IF(tb_DRETri[[#This Row],[SUB]]&lt;&gt;"",ESPACO,"")&amp;tb_DRETri[[#This Row],[Descrição Contas DRE]]&amp;COMPLEMENTO,"")</f>
        <v/>
      </c>
      <c r="F62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2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3" spans="2:7" x14ac:dyDescent="0.25">
      <c r="B63" s="24"/>
      <c r="C63" s="27"/>
      <c r="E63" s="10" t="str">
        <f>IF(tb_DRETri[[#This Row],[Descrição Contas DRE]]&lt;&gt;"",IF(tb_DRETri[[#This Row],[SUB]]&lt;&gt;"",ESPACO,"")&amp;tb_DRETri[[#This Row],[Descrição Contas DRE]]&amp;COMPLEMENTO,"")</f>
        <v/>
      </c>
      <c r="F63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3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4" spans="2:7" x14ac:dyDescent="0.25">
      <c r="B64" s="24"/>
      <c r="C64" s="27"/>
      <c r="E64" s="10" t="str">
        <f>IF(tb_DRETri[[#This Row],[Descrição Contas DRE]]&lt;&gt;"",IF(tb_DRETri[[#This Row],[SUB]]&lt;&gt;"",ESPACO,"")&amp;tb_DRETri[[#This Row],[Descrição Contas DRE]]&amp;COMPLEMENTO,"")</f>
        <v/>
      </c>
      <c r="F64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4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5" spans="2:7" x14ac:dyDescent="0.25">
      <c r="B65" s="24"/>
      <c r="C65" s="27"/>
      <c r="E65" s="10" t="str">
        <f>IF(tb_DRETri[[#This Row],[Descrição Contas DRE]]&lt;&gt;"",IF(tb_DRETri[[#This Row],[SUB]]&lt;&gt;"",ESPACO,"")&amp;tb_DRETri[[#This Row],[Descrição Contas DRE]]&amp;COMPLEMENTO,"")</f>
        <v/>
      </c>
      <c r="F65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5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6" spans="2:7" x14ac:dyDescent="0.25">
      <c r="B66" s="24"/>
      <c r="C66" s="27"/>
      <c r="E66" s="10" t="str">
        <f>IF(tb_DRETri[[#This Row],[Descrição Contas DRE]]&lt;&gt;"",IF(tb_DRETri[[#This Row],[SUB]]&lt;&gt;"",ESPACO,"")&amp;tb_DRETri[[#This Row],[Descrição Contas DRE]]&amp;COMPLEMENTO,"")</f>
        <v/>
      </c>
      <c r="F66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6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7" spans="2:7" x14ac:dyDescent="0.25">
      <c r="B67" s="24"/>
      <c r="C67" s="27"/>
      <c r="E67" s="10" t="str">
        <f>IF(tb_DRETri[[#This Row],[Descrição Contas DRE]]&lt;&gt;"",IF(tb_DRETri[[#This Row],[SUB]]&lt;&gt;"",ESPACO,"")&amp;tb_DRETri[[#This Row],[Descrição Contas DRE]]&amp;COMPLEMENTO,"")</f>
        <v/>
      </c>
      <c r="F67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7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8" spans="2:7" x14ac:dyDescent="0.25">
      <c r="B68" s="24"/>
      <c r="C68" s="27"/>
      <c r="E68" s="10" t="str">
        <f>IF(tb_DRETri[[#This Row],[Descrição Contas DRE]]&lt;&gt;"",IF(tb_DRETri[[#This Row],[SUB]]&lt;&gt;"",ESPACO,"")&amp;tb_DRETri[[#This Row],[Descrição Contas DRE]]&amp;COMPLEMENTO,"")</f>
        <v/>
      </c>
      <c r="F68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8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9" spans="2:7" x14ac:dyDescent="0.25">
      <c r="B69" s="24"/>
      <c r="C69" s="27"/>
      <c r="E69" s="10" t="str">
        <f>IF(tb_DRETri[[#This Row],[Descrição Contas DRE]]&lt;&gt;"",IF(tb_DRETri[[#This Row],[SUB]]&lt;&gt;"",ESPACO,"")&amp;tb_DRETri[[#This Row],[Descrição Contas DRE]]&amp;COMPLEMENTO,"")</f>
        <v/>
      </c>
      <c r="F69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9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70" spans="2:7" x14ac:dyDescent="0.25">
      <c r="B70" s="24"/>
      <c r="C70" s="27"/>
      <c r="E70" s="10" t="str">
        <f>IF(tb_DRETri[[#This Row],[Descrição Contas DRE]]&lt;&gt;"",IF(tb_DRETri[[#This Row],[SUB]]&lt;&gt;"",ESPACO,"")&amp;tb_DRETri[[#This Row],[Descrição Contas DRE]]&amp;COMPLEMENTO,"")</f>
        <v/>
      </c>
      <c r="F70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70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71" spans="2:7" x14ac:dyDescent="0.25">
      <c r="B71" s="24"/>
      <c r="C71" s="27"/>
      <c r="E71" s="10" t="str">
        <f>IF(tb_DRETri[[#This Row],[Descrição Contas DRE]]&lt;&gt;"",IF(tb_DRETri[[#This Row],[SUB]]&lt;&gt;"",ESPACO,"")&amp;tb_DRETri[[#This Row],[Descrição Contas DRE]]&amp;COMPLEMENTO,"")</f>
        <v/>
      </c>
      <c r="F71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71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72" spans="2:7" x14ac:dyDescent="0.25">
      <c r="B72" s="24"/>
      <c r="C72" s="27"/>
      <c r="E72" s="11" t="str">
        <f>IF(tb_DRETri[[#This Row],[Descrição Contas DRE]]&lt;&gt;"",IF(tb_DRETri[[#This Row],[SUB]]&lt;&gt;"",ESPACO,"")&amp;tb_DRETri[[#This Row],[Descrição Contas DRE]]&amp;COMPLEMENTO,"")</f>
        <v/>
      </c>
      <c r="F72" s="15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72" s="15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</sheetData>
  <mergeCells count="6">
    <mergeCell ref="E6:G6"/>
    <mergeCell ref="E1:G1"/>
    <mergeCell ref="E2:G2"/>
    <mergeCell ref="E3:G3"/>
    <mergeCell ref="E4:G4"/>
    <mergeCell ref="E5:G5"/>
  </mergeCells>
  <dataValidations disablePrompts="1" count="2">
    <dataValidation type="list" allowBlank="1" showInputMessage="1" showErrorMessage="1" sqref="B2">
      <formula1>lst_Trimestre</formula1>
    </dataValidation>
    <dataValidation type="list" allowBlank="1" showInputMessage="1" showErrorMessage="1" sqref="B11:B72 D13">
      <formula1>lst_DescDRE</formula1>
    </dataValidation>
  </dataValidations>
  <printOptions horizontalCentered="1"/>
  <pageMargins left="1.4678030303030303" right="0.78674242424242424" top="0.98425196850393704" bottom="0.78740157480314965" header="0.31496062992125984" footer="0.31496062992125984"/>
  <pageSetup paperSize="190" scale="60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theme="5" tint="0.59999389629810485"/>
    <pageSetUpPr fitToPage="1"/>
  </sheetPr>
  <dimension ref="A1:L70"/>
  <sheetViews>
    <sheetView showGridLines="0" topLeftCell="A43" zoomScale="85" zoomScaleNormal="85" workbookViewId="0"/>
  </sheetViews>
  <sheetFormatPr defaultColWidth="0" defaultRowHeight="15.75" x14ac:dyDescent="0.25"/>
  <cols>
    <col min="1" max="1" width="2.7109375" style="6" customWidth="1"/>
    <col min="2" max="2" width="40.7109375" style="7" customWidth="1"/>
    <col min="3" max="3" width="10.7109375" style="7" customWidth="1"/>
    <col min="4" max="4" width="2.7109375" style="6" customWidth="1"/>
    <col min="5" max="5" width="75.7109375" style="6" customWidth="1"/>
    <col min="6" max="7" width="25.7109375" style="6" customWidth="1"/>
    <col min="8" max="8" width="2.7109375" style="6" customWidth="1"/>
    <col min="9" max="12" width="0" style="6" hidden="1" customWidth="1"/>
    <col min="13" max="16384" width="9.140625" style="6" hidden="1"/>
  </cols>
  <sheetData>
    <row r="1" spans="2:7" ht="16.5" thickBot="1" x14ac:dyDescent="0.3">
      <c r="B1" s="8" t="s">
        <v>75</v>
      </c>
      <c r="E1" s="37" t="str">
        <f>'DRE - Trimestral'!E1:G1</f>
        <v>EMPRESA XYZ</v>
      </c>
      <c r="F1" s="38"/>
      <c r="G1" s="39"/>
    </row>
    <row r="2" spans="2:7" x14ac:dyDescent="0.25">
      <c r="B2" s="21" t="s">
        <v>80</v>
      </c>
      <c r="E2" s="40" t="str">
        <f>'DRE - Trimestral'!E2:G2</f>
        <v>ENDEREÇO</v>
      </c>
      <c r="F2" s="41"/>
      <c r="G2" s="42"/>
    </row>
    <row r="3" spans="2:7" x14ac:dyDescent="0.25">
      <c r="E3" s="34" t="str">
        <f>'DRE - Trimestral'!E3:G3</f>
        <v>CNPJ</v>
      </c>
      <c r="F3" s="35"/>
      <c r="G3" s="36"/>
    </row>
    <row r="4" spans="2:7" ht="16.5" thickBot="1" x14ac:dyDescent="0.3">
      <c r="B4" s="8" t="s">
        <v>62</v>
      </c>
      <c r="E4" s="37"/>
      <c r="F4" s="38"/>
      <c r="G4" s="39"/>
    </row>
    <row r="5" spans="2:7" x14ac:dyDescent="0.25">
      <c r="B5" s="22">
        <v>2016</v>
      </c>
      <c r="E5" s="40" t="str">
        <f>"DEMONSTRAÇÃO DO RESULTADO DOS EXERCÍCIOS FINDOS EM " &amp; TEXT(EOMONTH(DATEVALUE("1/"&amp;VLOOKUP(PERIODO_ACUM,tb_Trimestre[[TRIMESTRE]:[ÚLTIMO MÊS]],2,FALSE)&amp;"/"&amp;ANO_ACUM),0),"dd") &amp; " DE " &amp; VLOOKUP(PERIODO_ACUM,tb_Trimestre[[TRIMESTRE]:[ÚLTIMO MÊS]],2,FALSE) &amp; " DE " &amp; ANO_ACUM &amp; " E " &amp; ANO_ACUM-1</f>
        <v>DEMONSTRAÇÃO DO RESULTADO DOS EXERCÍCIOS FINDOS EM 31 DE MARÇO DE 2016 E 2015</v>
      </c>
      <c r="F5" s="41"/>
      <c r="G5" s="42"/>
    </row>
    <row r="6" spans="2:7" x14ac:dyDescent="0.25">
      <c r="E6" s="34"/>
      <c r="F6" s="35"/>
      <c r="G6" s="36"/>
    </row>
    <row r="7" spans="2:7" ht="16.5" thickBot="1" x14ac:dyDescent="0.3">
      <c r="B7" s="8" t="s">
        <v>61</v>
      </c>
      <c r="C7" s="8" t="s">
        <v>91</v>
      </c>
      <c r="E7" s="9"/>
      <c r="F7" s="16"/>
      <c r="G7" s="16"/>
    </row>
    <row r="8" spans="2:7" x14ac:dyDescent="0.25">
      <c r="B8" s="23" t="s">
        <v>88</v>
      </c>
      <c r="C8" s="23" t="s">
        <v>90</v>
      </c>
      <c r="E8" s="20"/>
      <c r="F8" s="17" t="str">
        <f>VLOOKUP(PERIODO_ACUM,tb_Trimestre[[TRIMESTRE]:[ÚLTIMO MÊS]],2,FALSE) &amp; " / " &amp; ANO_ACUM</f>
        <v>MARÇO / 2016</v>
      </c>
      <c r="G8" s="17" t="str">
        <f>VLOOKUP(PERIODO_ACUM,tb_Trimestre[[TRIMESTRE]:[ÚLTIMO MÊS]],2,FALSE) &amp; " / " &amp; ANO_ACUM-1</f>
        <v>MARÇO / 2015</v>
      </c>
    </row>
    <row r="9" spans="2:7" x14ac:dyDescent="0.25">
      <c r="B9" s="6"/>
      <c r="E9" s="10"/>
      <c r="F9" s="17" t="s">
        <v>76</v>
      </c>
      <c r="G9" s="17" t="s">
        <v>76</v>
      </c>
    </row>
    <row r="10" spans="2:7" x14ac:dyDescent="0.25">
      <c r="B10" s="26" t="s">
        <v>49</v>
      </c>
      <c r="C10" s="26" t="s">
        <v>89</v>
      </c>
      <c r="E10" s="10"/>
      <c r="F10" s="18"/>
      <c r="G10" s="18"/>
    </row>
    <row r="11" spans="2:7" x14ac:dyDescent="0.25">
      <c r="B11" s="24" t="s">
        <v>79</v>
      </c>
      <c r="C11" s="27"/>
      <c r="E11" s="10" t="str">
        <f>IF(tb_DRETriAcum[[#This Row],[Descrição Contas DRE]]&lt;&gt;"",IF(tb_DRETriAcum[[#This Row],[SUB]]&lt;&gt;"",ESPACO_ACUM,"")&amp;tb_DRETriAcum[[#This Row],[Descrição Contas DRE]]&amp;COMPLEMENTO_ACUM,"")</f>
        <v>( + ) Receitas com Vendas e Serviços 2.1...................................................................................</v>
      </c>
      <c r="F11" s="12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11" s="12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12" spans="2:7" x14ac:dyDescent="0.25">
      <c r="B12" s="24"/>
      <c r="C12" s="27"/>
      <c r="E12" s="10" t="str">
        <f>IF(tb_DRETriAcum[[#This Row],[Descrição Contas DRE]]&lt;&gt;"",IF(tb_DRETriAcum[[#This Row],[SUB]]&lt;&gt;"",ESPACO_ACUM,"")&amp;tb_DRETriAcum[[#This Row],[Descrição Contas DRE]]&amp;COMPLEMENTO_ACUM,"")</f>
        <v/>
      </c>
      <c r="F12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12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13" spans="2:7" x14ac:dyDescent="0.25">
      <c r="B13" s="24" t="s">
        <v>77</v>
      </c>
      <c r="C13" s="27"/>
      <c r="E13" s="10" t="str">
        <f>IF(tb_DRETriAcum[[#This Row],[Descrição Contas DRE]]&lt;&gt;"",IF(tb_DRETriAcum[[#This Row],[SUB]]&lt;&gt;"",ESPACO_ACUM,"")&amp;tb_DRETriAcum[[#This Row],[Descrição Contas DRE]]&amp;COMPLEMENTO_ACUM,"")</f>
        <v>( - ) Vendas Canceladas e Descontos Incondicionais 2.2...................................................................................</v>
      </c>
      <c r="F13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13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14" spans="2:7" x14ac:dyDescent="0.25">
      <c r="B14" s="24"/>
      <c r="C14" s="27"/>
      <c r="E14" s="10" t="str">
        <f>IF(tb_DRETriAcum[[#This Row],[Descrição Contas DRE]]&lt;&gt;"",IF(tb_DRETriAcum[[#This Row],[SUB]]&lt;&gt;"",ESPACO_ACUM,"")&amp;tb_DRETriAcum[[#This Row],[Descrição Contas DRE]]&amp;COMPLEMENTO_ACUM,"")</f>
        <v/>
      </c>
      <c r="F14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14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15" spans="2:7" x14ac:dyDescent="0.25">
      <c r="B15" s="24" t="s">
        <v>78</v>
      </c>
      <c r="C15" s="27"/>
      <c r="E15" s="10" t="str">
        <f>IF(tb_DRETriAcum[[#This Row],[Descrição Contas DRE]]&lt;&gt;"",IF(tb_DRETriAcum[[#This Row],[SUB]]&lt;&gt;"",ESPACO_ACUM,"")&amp;tb_DRETriAcum[[#This Row],[Descrição Contas DRE]]&amp;COMPLEMENTO_ACUM,"")</f>
        <v>( - ) Imposto s/ Vendas e Serviços e Outras Deduções 2.3...................................................................................</v>
      </c>
      <c r="F15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DRE]]))))*-1,"")</f>
        <v>0</v>
      </c>
      <c r="G15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DRE]]))))*-1,"")</f>
        <v>0</v>
      </c>
    </row>
    <row r="16" spans="2:7" x14ac:dyDescent="0.25">
      <c r="B16" s="24"/>
      <c r="C16" s="27"/>
      <c r="E16" s="10" t="str">
        <f>IF(tb_DRETriAcum[[#This Row],[Descrição Contas DRE]]&lt;&gt;"",IF(tb_DRETriAcum[[#This Row],[SUB]]&lt;&gt;"",ESPACO_ACUM,"")&amp;tb_DRETriAcum[[#This Row],[Descrição Contas DRE]]&amp;COMPLEMENTO_ACUM,"")</f>
        <v/>
      </c>
      <c r="F16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16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17" spans="2:7" x14ac:dyDescent="0.25">
      <c r="B17" s="24" t="s">
        <v>92</v>
      </c>
      <c r="C17" s="27"/>
      <c r="E17" s="29" t="str">
        <f>IF(tb_DRETriAcum[[#This Row],[Descrição Contas DRE]]&lt;&gt;"",IF(tb_DRETriAcum[[#This Row],[SUB]]&lt;&gt;"",ESPACO_ACUM,"")&amp;tb_DRETriAcum[[#This Row],[Descrição Contas DRE]]&amp;COMPLEMENTO_ACUM,"")</f>
        <v>( = ) Receita Líquida...................................................................................</v>
      </c>
      <c r="F17" s="28">
        <f>F11-F13-F15</f>
        <v>0</v>
      </c>
      <c r="G17" s="28">
        <f>G11-G13-G15</f>
        <v>0</v>
      </c>
    </row>
    <row r="18" spans="2:7" x14ac:dyDescent="0.25">
      <c r="B18" s="24"/>
      <c r="C18" s="27"/>
      <c r="E18" s="10" t="str">
        <f>IF(tb_DRETriAcum[[#This Row],[Descrição Contas DRE]]&lt;&gt;"",IF(tb_DRETriAcum[[#This Row],[SUB]]&lt;&gt;"",ESPACO_ACUM,"")&amp;tb_DRETriAcum[[#This Row],[Descrição Contas DRE]]&amp;COMPLEMENTO_ACUM,"")</f>
        <v/>
      </c>
      <c r="F18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18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19" spans="2:7" x14ac:dyDescent="0.25">
      <c r="B19" s="24" t="s">
        <v>99</v>
      </c>
      <c r="C19" s="27"/>
      <c r="E19" s="10" t="str">
        <f>IF(tb_DRETriAcum[[#This Row],[Descrição Contas DRE]]&lt;&gt;"",IF(tb_DRETriAcum[[#This Row],[SUB]]&lt;&gt;"",ESPACO_ACUM,"")&amp;tb_DRETriAcum[[#This Row],[Descrição Contas DRE]]&amp;COMPLEMENTO_ACUM,"")</f>
        <v>( - ) Custo das Mercadorias e Serviços Vendidos 2.4...................................................................................</v>
      </c>
      <c r="F19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19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20" spans="2:7" x14ac:dyDescent="0.25">
      <c r="B20" s="24"/>
      <c r="C20" s="27"/>
      <c r="E20" s="10" t="str">
        <f>IF(tb_DRETriAcum[[#This Row],[Descrição Contas DRE]]&lt;&gt;"",IF(tb_DRETriAcum[[#This Row],[SUB]]&lt;&gt;"",ESPACO_ACUM,"")&amp;tb_DRETriAcum[[#This Row],[Descrição Contas DRE]]&amp;COMPLEMENTO_ACUM,"")</f>
        <v/>
      </c>
      <c r="F20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20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21" spans="2:7" x14ac:dyDescent="0.25">
      <c r="B21" s="24" t="s">
        <v>93</v>
      </c>
      <c r="C21" s="27"/>
      <c r="E21" s="29" t="str">
        <f>IF(tb_DRETriAcum[[#This Row],[Descrição Contas DRE]]&lt;&gt;"",IF(tb_DRETriAcum[[#This Row],[SUB]]&lt;&gt;"",ESPACO_ACUM,"")&amp;tb_DRETriAcum[[#This Row],[Descrição Contas DRE]]&amp;COMPLEMENTO_ACUM,"")</f>
        <v>( = ) Lucro Bruto ...................................................................................</v>
      </c>
      <c r="F21" s="28">
        <f>F17-F19</f>
        <v>0</v>
      </c>
      <c r="G21" s="28">
        <f>G17-G19</f>
        <v>0</v>
      </c>
    </row>
    <row r="22" spans="2:7" x14ac:dyDescent="0.25">
      <c r="B22" s="24"/>
      <c r="C22" s="27"/>
      <c r="E22" s="10" t="str">
        <f>IF(tb_DRETriAcum[[#This Row],[Descrição Contas DRE]]&lt;&gt;"",IF(tb_DRETriAcum[[#This Row],[SUB]]&lt;&gt;"",ESPACO_ACUM,"")&amp;tb_DRETriAcum[[#This Row],[Descrição Contas DRE]]&amp;COMPLEMENTO_ACUM,"")</f>
        <v/>
      </c>
      <c r="F22" s="14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22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23" spans="2:7" x14ac:dyDescent="0.25">
      <c r="B23" s="24" t="s">
        <v>94</v>
      </c>
      <c r="C23" s="27"/>
      <c r="E23" s="10" t="str">
        <f>IF(tb_DRETriAcum[[#This Row],[Descrição Contas DRE]]&lt;&gt;"",IF(tb_DRETriAcum[[#This Row],[SUB]]&lt;&gt;"",ESPACO_ACUM,"")&amp;tb_DRETriAcum[[#This Row],[Descrição Contas DRE]]&amp;COMPLEMENTO_ACUM,"")</f>
        <v>( + ) Receitas Operacionais 2.5...................................................................................</v>
      </c>
      <c r="F23" s="13">
        <f>SUM(F25:F29)</f>
        <v>527619.97273291915</v>
      </c>
      <c r="G23" s="13">
        <f>SUM(G25:G29)</f>
        <v>527619.97273291915</v>
      </c>
    </row>
    <row r="24" spans="2:7" x14ac:dyDescent="0.25">
      <c r="B24" s="24"/>
      <c r="C24" s="27"/>
      <c r="E24" s="10" t="str">
        <f>IF(tb_DRETriAcum[[#This Row],[Descrição Contas DRE]]&lt;&gt;"",IF(tb_DRETriAcum[[#This Row],[SUB]]&lt;&gt;"",ESPACO_ACUM,"")&amp;tb_DRETriAcum[[#This Row],[Descrição Contas DRE]]&amp;COMPLEMENTO_ACUM,"")</f>
        <v/>
      </c>
      <c r="F24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24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25" spans="2:7" x14ac:dyDescent="0.25">
      <c r="B25" s="24" t="s">
        <v>100</v>
      </c>
      <c r="C25" s="27" t="s">
        <v>113</v>
      </c>
      <c r="E25" s="10" t="str">
        <f>IF(tb_DRETriAcum[[#This Row],[Descrição Contas DRE]]&lt;&gt;"",IF(tb_DRETriAcum[[#This Row],[SUB]]&lt;&gt;"",ESPACO_ACUM,"")&amp;tb_DRETriAcum[[#This Row],[Descrição Contas DRE]]&amp;COMPLEMENTO_ACUM,"")</f>
        <v xml:space="preserve">      Repasse Recebido 2.5(a)...................................................................................</v>
      </c>
      <c r="F25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25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26" spans="2:7" x14ac:dyDescent="0.25">
      <c r="B26" s="24"/>
      <c r="C26" s="27"/>
      <c r="E26" s="10" t="str">
        <f>IF(tb_DRETriAcum[[#This Row],[Descrição Contas DRE]]&lt;&gt;"",IF(tb_DRETriAcum[[#This Row],[SUB]]&lt;&gt;"",ESPACO_ACUM,"")&amp;tb_DRETriAcum[[#This Row],[Descrição Contas DRE]]&amp;COMPLEMENTO_ACUM,"")</f>
        <v/>
      </c>
      <c r="F26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26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27" spans="2:7" x14ac:dyDescent="0.25">
      <c r="B27" s="24" t="s">
        <v>101</v>
      </c>
      <c r="C27" s="27" t="s">
        <v>113</v>
      </c>
      <c r="E27" s="10" t="str">
        <f>IF(tb_DRETriAcum[[#This Row],[Descrição Contas DRE]]&lt;&gt;"",IF(tb_DRETriAcum[[#This Row],[SUB]]&lt;&gt;"",ESPACO_ACUM,"")&amp;tb_DRETriAcum[[#This Row],[Descrição Contas DRE]]&amp;COMPLEMENTO_ACUM,"")</f>
        <v xml:space="preserve">      Outras Receitas Operacionais 2.5(b)...................................................................................</v>
      </c>
      <c r="F27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-417.08152617568766</v>
      </c>
      <c r="G27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-417.08152617568766</v>
      </c>
    </row>
    <row r="28" spans="2:7" x14ac:dyDescent="0.25">
      <c r="B28" s="24"/>
      <c r="C28" s="27"/>
      <c r="E28" s="10" t="str">
        <f>IF(tb_DRETriAcum[[#This Row],[Descrição Contas DRE]]&lt;&gt;"",IF(tb_DRETriAcum[[#This Row],[SUB]]&lt;&gt;"",ESPACO_ACUM,"")&amp;tb_DRETriAcum[[#This Row],[Descrição Contas DRE]]&amp;COMPLEMENTO_ACUM,"")</f>
        <v/>
      </c>
      <c r="F28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28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29" spans="2:7" x14ac:dyDescent="0.25">
      <c r="B29" s="24" t="s">
        <v>102</v>
      </c>
      <c r="C29" s="27" t="s">
        <v>113</v>
      </c>
      <c r="E29" s="10" t="str">
        <f>IF(tb_DRETriAcum[[#This Row],[Descrição Contas DRE]]&lt;&gt;"",IF(tb_DRETriAcum[[#This Row],[SUB]]&lt;&gt;"",ESPACO_ACUM,"")&amp;tb_DRETriAcum[[#This Row],[Descrição Contas DRE]]&amp;COMPLEMENTO_ACUM,"")</f>
        <v xml:space="preserve">      Convênios 2.5(c) ...................................................................................</v>
      </c>
      <c r="F29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528037.05425909488</v>
      </c>
      <c r="G29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528037.05425909488</v>
      </c>
    </row>
    <row r="30" spans="2:7" x14ac:dyDescent="0.25">
      <c r="B30" s="24"/>
      <c r="C30" s="27"/>
      <c r="E30" s="10" t="str">
        <f>IF(tb_DRETriAcum[[#This Row],[Descrição Contas DRE]]&lt;&gt;"",IF(tb_DRETriAcum[[#This Row],[SUB]]&lt;&gt;"",ESPACO_ACUM,"")&amp;tb_DRETriAcum[[#This Row],[Descrição Contas DRE]]&amp;COMPLEMENTO_ACUM,"")</f>
        <v/>
      </c>
      <c r="F30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30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31" spans="2:7" x14ac:dyDescent="0.25">
      <c r="B31" s="24" t="s">
        <v>95</v>
      </c>
      <c r="C31" s="27"/>
      <c r="E31" s="10" t="str">
        <f>IF(tb_DRETriAcum[[#This Row],[Descrição Contas DRE]]&lt;&gt;"",IF(tb_DRETriAcum[[#This Row],[SUB]]&lt;&gt;"",ESPACO_ACUM,"")&amp;tb_DRETriAcum[[#This Row],[Descrição Contas DRE]]&amp;COMPLEMENTO_ACUM,"")</f>
        <v>( - ) Despesas Operacionais 2.6...................................................................................</v>
      </c>
      <c r="F31" s="13">
        <f>SUM(F33:F37)</f>
        <v>0</v>
      </c>
      <c r="G31" s="13">
        <f>SUM(G33:G37)</f>
        <v>0</v>
      </c>
    </row>
    <row r="32" spans="2:7" x14ac:dyDescent="0.25">
      <c r="B32" s="24"/>
      <c r="C32" s="27"/>
      <c r="E32" s="10" t="str">
        <f>IF(tb_DRETriAcum[[#This Row],[Descrição Contas DRE]]&lt;&gt;"",IF(tb_DRETriAcum[[#This Row],[SUB]]&lt;&gt;"",ESPACO_ACUM,"")&amp;tb_DRETriAcum[[#This Row],[Descrição Contas DRE]]&amp;COMPLEMENTO_ACUM,"")</f>
        <v/>
      </c>
      <c r="F32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32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33" spans="2:7" x14ac:dyDescent="0.25">
      <c r="B33" s="24" t="s">
        <v>103</v>
      </c>
      <c r="C33" s="27" t="s">
        <v>113</v>
      </c>
      <c r="E33" s="10" t="str">
        <f>IF(tb_DRETriAcum[[#This Row],[Descrição Contas DRE]]&lt;&gt;"",IF(tb_DRETriAcum[[#This Row],[SUB]]&lt;&gt;"",ESPACO_ACUM,"")&amp;tb_DRETriAcum[[#This Row],[Descrição Contas DRE]]&amp;COMPLEMENTO_ACUM,"")</f>
        <v xml:space="preserve">      Despesas com Vendas 2.6(a)...................................................................................</v>
      </c>
      <c r="F33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33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34" spans="2:7" x14ac:dyDescent="0.25">
      <c r="B34" s="24"/>
      <c r="C34" s="27"/>
      <c r="E34" s="10" t="str">
        <f>IF(tb_DRETriAcum[[#This Row],[Descrição Contas DRE]]&lt;&gt;"",IF(tb_DRETriAcum[[#This Row],[SUB]]&lt;&gt;"",ESPACO_ACUM,"")&amp;tb_DRETriAcum[[#This Row],[Descrição Contas DRE]]&amp;COMPLEMENTO_ACUM,"")</f>
        <v/>
      </c>
      <c r="F34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34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35" spans="2:7" x14ac:dyDescent="0.25">
      <c r="B35" s="24" t="s">
        <v>104</v>
      </c>
      <c r="C35" s="27" t="s">
        <v>113</v>
      </c>
      <c r="E35" s="10" t="str">
        <f>IF(tb_DRETriAcum[[#This Row],[Descrição Contas DRE]]&lt;&gt;"",IF(tb_DRETriAcum[[#This Row],[SUB]]&lt;&gt;"",ESPACO_ACUM,"")&amp;tb_DRETriAcum[[#This Row],[Descrição Contas DRE]]&amp;COMPLEMENTO_ACUM,"")</f>
        <v xml:space="preserve">      Despesas Administrativas 2.6(b)...................................................................................</v>
      </c>
      <c r="F35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35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36" spans="2:7" x14ac:dyDescent="0.25">
      <c r="B36" s="24"/>
      <c r="C36" s="27"/>
      <c r="E36" s="10" t="str">
        <f>IF(tb_DRETriAcum[[#This Row],[Descrição Contas DRE]]&lt;&gt;"",IF(tb_DRETriAcum[[#This Row],[SUB]]&lt;&gt;"",ESPACO_ACUM,"")&amp;tb_DRETriAcum[[#This Row],[Descrição Contas DRE]]&amp;COMPLEMENTO_ACUM,"")</f>
        <v/>
      </c>
      <c r="F36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36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37" spans="2:7" x14ac:dyDescent="0.25">
      <c r="B37" s="24" t="s">
        <v>105</v>
      </c>
      <c r="C37" s="27" t="s">
        <v>113</v>
      </c>
      <c r="E37" s="10" t="str">
        <f>IF(tb_DRETriAcum[[#This Row],[Descrição Contas DRE]]&lt;&gt;"",IF(tb_DRETriAcum[[#This Row],[SUB]]&lt;&gt;"",ESPACO_ACUM,"")&amp;tb_DRETriAcum[[#This Row],[Descrição Contas DRE]]&amp;COMPLEMENTO_ACUM,"")</f>
        <v xml:space="preserve">      Despesas com Investimentos 2.6(c)...................................................................................</v>
      </c>
      <c r="F37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37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38" spans="2:7" x14ac:dyDescent="0.25">
      <c r="B38" s="24"/>
      <c r="C38" s="27"/>
      <c r="E38" s="10" t="str">
        <f>IF(tb_DRETriAcum[[#This Row],[Descrição Contas DRE]]&lt;&gt;"",IF(tb_DRETriAcum[[#This Row],[SUB]]&lt;&gt;"",ESPACO_ACUM,"")&amp;tb_DRETriAcum[[#This Row],[Descrição Contas DRE]]&amp;COMPLEMENTO_ACUM,"")</f>
        <v/>
      </c>
      <c r="F38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38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39" spans="2:7" x14ac:dyDescent="0.25">
      <c r="B39" s="24" t="s">
        <v>96</v>
      </c>
      <c r="C39" s="27"/>
      <c r="E39" s="29" t="str">
        <f>IF(tb_DRETriAcum[[#This Row],[Descrição Contas DRE]]&lt;&gt;"",IF(tb_DRETriAcum[[#This Row],[SUB]]&lt;&gt;"",ESPACO_ACUM,"")&amp;tb_DRETriAcum[[#This Row],[Descrição Contas DRE]]&amp;COMPLEMENTO_ACUM,"")</f>
        <v>(=) Resultado Antes das Receitas e Despesas Financeiras...................................................................................</v>
      </c>
      <c r="F39" s="28">
        <f>F21+F23-F31</f>
        <v>527619.97273291915</v>
      </c>
      <c r="G39" s="28">
        <f>G21+G23-G31</f>
        <v>527619.97273291915</v>
      </c>
    </row>
    <row r="40" spans="2:7" x14ac:dyDescent="0.25">
      <c r="B40" s="24"/>
      <c r="C40" s="27"/>
      <c r="E40" s="10" t="str">
        <f>IF(tb_DRETriAcum[[#This Row],[Descrição Contas DRE]]&lt;&gt;"",IF(tb_DRETriAcum[[#This Row],[SUB]]&lt;&gt;"",ESPACO_ACUM,"")&amp;tb_DRETriAcum[[#This Row],[Descrição Contas DRE]]&amp;COMPLEMENTO_ACUM,"")</f>
        <v/>
      </c>
      <c r="F40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40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41" spans="2:7" x14ac:dyDescent="0.25">
      <c r="B41" s="24" t="s">
        <v>119</v>
      </c>
      <c r="C41" s="27"/>
      <c r="E41" s="10" t="str">
        <f>IF(tb_DRETriAcum[[#This Row],[Descrição Contas DRE]]&lt;&gt;"",IF(tb_DRETriAcum[[#This Row],[SUB]]&lt;&gt;"",ESPACO_ACUM,"")&amp;tb_DRETriAcum[[#This Row],[Descrição Contas DRE]]&amp;COMPLEMENTO_ACUM,"")</f>
        <v>( + ) Receitas Financeiras 2.7...................................................................................</v>
      </c>
      <c r="F41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3652.4745252883758</v>
      </c>
      <c r="G41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3652.4745252883758</v>
      </c>
    </row>
    <row r="42" spans="2:7" x14ac:dyDescent="0.25">
      <c r="B42" s="24"/>
      <c r="C42" s="27"/>
      <c r="E42" s="10" t="str">
        <f>IF(tb_DRETriAcum[[#This Row],[Descrição Contas DRE]]&lt;&gt;"",IF(tb_DRETriAcum[[#This Row],[SUB]]&lt;&gt;"",ESPACO_ACUM,"")&amp;tb_DRETriAcum[[#This Row],[Descrição Contas DRE]]&amp;COMPLEMENTO_ACUM,"")</f>
        <v/>
      </c>
      <c r="F42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42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43" spans="2:7" x14ac:dyDescent="0.25">
      <c r="B43" s="24" t="s">
        <v>106</v>
      </c>
      <c r="C43" s="27"/>
      <c r="E43" s="10" t="str">
        <f>IF(tb_DRETriAcum[[#This Row],[Descrição Contas DRE]]&lt;&gt;"",IF(tb_DRETriAcum[[#This Row],[SUB]]&lt;&gt;"",ESPACO_ACUM,"")&amp;tb_DRETriAcum[[#This Row],[Descrição Contas DRE]]&amp;COMPLEMENTO_ACUM,"")</f>
        <v>( - ) Despesas Financeiras 2.8...................................................................................</v>
      </c>
      <c r="F43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43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44" spans="2:7" x14ac:dyDescent="0.25">
      <c r="B44" s="24"/>
      <c r="C44" s="27"/>
      <c r="E44" s="10" t="str">
        <f>IF(tb_DRETriAcum[[#This Row],[Descrição Contas DRE]]&lt;&gt;"",IF(tb_DRETriAcum[[#This Row],[SUB]]&lt;&gt;"",ESPACO_ACUM,"")&amp;tb_DRETriAcum[[#This Row],[Descrição Contas DRE]]&amp;COMPLEMENTO_ACUM,"")</f>
        <v/>
      </c>
      <c r="F44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44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45" spans="2:7" x14ac:dyDescent="0.25">
      <c r="B45" s="24" t="s">
        <v>116</v>
      </c>
      <c r="C45" s="27"/>
      <c r="E45" s="10" t="str">
        <f>IF(tb_DRETriAcum[[#This Row],[Descrição Contas DRE]]&lt;&gt;"",IF(tb_DRETriAcum[[#This Row],[SUB]]&lt;&gt;"",ESPACO_ACUM,"")&amp;tb_DRETriAcum[[#This Row],[Descrição Contas DRE]]&amp;COMPLEMENTO_ACUM,"")</f>
        <v>( + ) Receitas Não Operacionais 2.9...................................................................................</v>
      </c>
      <c r="F45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464038.44250221824</v>
      </c>
      <c r="G45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464038.44250221824</v>
      </c>
    </row>
    <row r="46" spans="2:7" x14ac:dyDescent="0.25">
      <c r="B46" s="24"/>
      <c r="C46" s="27"/>
      <c r="E46" s="10" t="str">
        <f>IF(tb_DRETriAcum[[#This Row],[Descrição Contas DRE]]&lt;&gt;"",IF(tb_DRETriAcum[[#This Row],[SUB]]&lt;&gt;"",ESPACO_ACUM,"")&amp;tb_DRETriAcum[[#This Row],[Descrição Contas DRE]]&amp;COMPLEMENTO_ACUM,"")</f>
        <v/>
      </c>
      <c r="F46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46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47" spans="2:7" x14ac:dyDescent="0.25">
      <c r="B47" s="24" t="s">
        <v>117</v>
      </c>
      <c r="C47" s="27"/>
      <c r="E47" s="10" t="str">
        <f>IF(tb_DRETriAcum[[#This Row],[Descrição Contas DRE]]&lt;&gt;"",IF(tb_DRETriAcum[[#This Row],[SUB]]&lt;&gt;"",ESPACO_ACUM,"")&amp;tb_DRETriAcum[[#This Row],[Descrição Contas DRE]]&amp;COMPLEMENTO_ACUM,"")</f>
        <v>( - ) Despesas Não Operacionais 2.10...................................................................................</v>
      </c>
      <c r="F47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47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48" spans="2:7" x14ac:dyDescent="0.25">
      <c r="B48" s="24"/>
      <c r="C48" s="27"/>
      <c r="E48" s="10" t="str">
        <f>IF(tb_DRETriAcum[[#This Row],[Descrição Contas DRE]]&lt;&gt;"",IF(tb_DRETriAcum[[#This Row],[SUB]]&lt;&gt;"",ESPACO_ACUM,"")&amp;tb_DRETriAcum[[#This Row],[Descrição Contas DRE]]&amp;COMPLEMENTO_ACUM,"")</f>
        <v/>
      </c>
      <c r="F48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48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49" spans="2:7" x14ac:dyDescent="0.25">
      <c r="B49" s="24" t="s">
        <v>97</v>
      </c>
      <c r="C49" s="27"/>
      <c r="E49" s="29" t="str">
        <f>IF(tb_DRETriAcum[[#This Row],[Descrição Contas DRE]]&lt;&gt;"",IF(tb_DRETriAcum[[#This Row],[SUB]]&lt;&gt;"",ESPACO_ACUM,"")&amp;tb_DRETriAcum[[#This Row],[Descrição Contas DRE]]&amp;COMPLEMENTO_ACUM,"")</f>
        <v>( =) Resultado do Período de Apuração...................................................................................</v>
      </c>
      <c r="F49" s="28">
        <f>F39+F41+F45-F43-F47</f>
        <v>995310.88976042578</v>
      </c>
      <c r="G49" s="28">
        <f>G39+G45+G41-G43-G47</f>
        <v>995310.88976042566</v>
      </c>
    </row>
    <row r="50" spans="2:7" x14ac:dyDescent="0.25">
      <c r="B50" s="24"/>
      <c r="C50" s="27"/>
      <c r="E50" s="10" t="str">
        <f>IF(tb_DRETriAcum[[#This Row],[Descrição Contas DRE]]&lt;&gt;"",IF(tb_DRETriAcum[[#This Row],[SUB]]&lt;&gt;"",ESPACO_ACUM,"")&amp;tb_DRETriAcum[[#This Row],[Descrição Contas DRE]]&amp;COMPLEMENTO_ACUM,"")</f>
        <v/>
      </c>
      <c r="F50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50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51" spans="2:7" x14ac:dyDescent="0.25">
      <c r="B51" s="24" t="s">
        <v>118</v>
      </c>
      <c r="C51" s="27"/>
      <c r="E51" s="10" t="str">
        <f>IF(tb_DRETriAcum[[#This Row],[Descrição Contas DRE]]&lt;&gt;"",IF(tb_DRETriAcum[[#This Row],[SUB]]&lt;&gt;"",ESPACO_ACUM,"")&amp;tb_DRETriAcum[[#This Row],[Descrição Contas DRE]]&amp;COMPLEMENTO_ACUM,"")</f>
        <v>( - ) Contribuição para Assistência ou Previdência de Empregados 2.11...................................................................................</v>
      </c>
      <c r="F51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51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52" spans="2:7" x14ac:dyDescent="0.25">
      <c r="B52" s="24"/>
      <c r="C52" s="27"/>
      <c r="E52" s="10" t="str">
        <f>IF(tb_DRETriAcum[[#This Row],[Descrição Contas DRE]]&lt;&gt;"",IF(tb_DRETriAcum[[#This Row],[SUB]]&lt;&gt;"",ESPACO_ACUM,"")&amp;tb_DRETriAcum[[#This Row],[Descrição Contas DRE]]&amp;COMPLEMENTO_ACUM,"")</f>
        <v/>
      </c>
      <c r="F52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52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53" spans="2:7" x14ac:dyDescent="0.25">
      <c r="B53" s="24" t="s">
        <v>98</v>
      </c>
      <c r="C53" s="27"/>
      <c r="E53" s="29" t="str">
        <f>IF(tb_DRETriAcum[[#This Row],[Descrição Contas DRE]]&lt;&gt;"",IF(tb_DRETriAcum[[#This Row],[SUB]]&lt;&gt;"",ESPACO_ACUM,"")&amp;tb_DRETriAcum[[#This Row],[Descrição Contas DRE]]&amp;COMPLEMENTO_ACUM,"")</f>
        <v>( =) Resultado Antes dos Tributos sobre o Lucro...................................................................................</v>
      </c>
      <c r="F53" s="28">
        <f>F49-F51</f>
        <v>995310.88976042578</v>
      </c>
      <c r="G53" s="28">
        <f>G49-G51</f>
        <v>995310.88976042566</v>
      </c>
    </row>
    <row r="54" spans="2:7" x14ac:dyDescent="0.25">
      <c r="B54" s="24"/>
      <c r="C54" s="27"/>
      <c r="E54" s="10" t="str">
        <f>IF(tb_DRETriAcum[[#This Row],[Descrição Contas DRE]]&lt;&gt;"",IF(tb_DRETriAcum[[#This Row],[SUB]]&lt;&gt;"",ESPACO_ACUM,"")&amp;tb_DRETriAcum[[#This Row],[Descrição Contas DRE]]&amp;COMPLEMENTO_ACUM,"")</f>
        <v/>
      </c>
      <c r="F54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54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55" spans="2:7" x14ac:dyDescent="0.25">
      <c r="B55" s="24" t="s">
        <v>35</v>
      </c>
      <c r="C55" s="27"/>
      <c r="E55" s="10" t="str">
        <f>IF(tb_DRETriAcum[[#This Row],[Descrição Contas DRE]]&lt;&gt;"",IF(tb_DRETriAcum[[#This Row],[SUB]]&lt;&gt;"",ESPACO_ACUM,"")&amp;tb_DRETriAcum[[#This Row],[Descrição Contas DRE]]&amp;COMPLEMENTO_ACUM,"")</f>
        <v>( - ) Contribuição Social sobre o Lucro...................................................................................</v>
      </c>
      <c r="F55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55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56" spans="2:7" x14ac:dyDescent="0.25">
      <c r="B56" s="24"/>
      <c r="C56" s="27"/>
      <c r="E56" s="10" t="str">
        <f>IF(tb_DRETriAcum[[#This Row],[Descrição Contas DRE]]&lt;&gt;"",IF(tb_DRETriAcum[[#This Row],[SUB]]&lt;&gt;"",ESPACO_ACUM,"")&amp;tb_DRETriAcum[[#This Row],[Descrição Contas DRE]]&amp;COMPLEMENTO_ACUM,"")</f>
        <v/>
      </c>
      <c r="F56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56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57" spans="2:7" x14ac:dyDescent="0.25">
      <c r="B57" s="24" t="s">
        <v>36</v>
      </c>
      <c r="C57" s="27"/>
      <c r="E57" s="10" t="str">
        <f>IF(tb_DRETriAcum[[#This Row],[Descrição Contas DRE]]&lt;&gt;"",IF(tb_DRETriAcum[[#This Row],[SUB]]&lt;&gt;"",ESPACO_ACUM,"")&amp;tb_DRETriAcum[[#This Row],[Descrição Contas DRE]]&amp;COMPLEMENTO_ACUM,"")</f>
        <v>( - ) Imposto de RendaPessoa Jurídica...................................................................................</v>
      </c>
      <c r="F57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57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58" spans="2:7" x14ac:dyDescent="0.25">
      <c r="B58" s="24"/>
      <c r="C58" s="27"/>
      <c r="E58" s="10" t="str">
        <f>IF(tb_DRETriAcum[[#This Row],[Descrição Contas DRE]]&lt;&gt;"",IF(tb_DRETriAcum[[#This Row],[SUB]]&lt;&gt;"",ESPACO_ACUM,"")&amp;tb_DRETriAcum[[#This Row],[Descrição Contas DRE]]&amp;COMPLEMENTO_ACUM,"")</f>
        <v/>
      </c>
      <c r="F58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58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59" spans="2:7" x14ac:dyDescent="0.25">
      <c r="B59" s="24" t="s">
        <v>110</v>
      </c>
      <c r="C59" s="27"/>
      <c r="E59" s="29" t="str">
        <f>IF(tb_DRETriAcum[[#This Row],[Descrição Contas DRE]]&lt;&gt;"",IF(tb_DRETriAcum[[#This Row],[SUB]]&lt;&gt;"",ESPACO_ACUM,"")&amp;tb_DRETriAcum[[#This Row],[Descrição Contas DRE]]&amp;COMPLEMENTO_ACUM,"")</f>
        <v>( =) Resultado Líquido do Exercício 2.12...................................................................................</v>
      </c>
      <c r="F59" s="28">
        <f>F53-F55-F57</f>
        <v>995310.88976042578</v>
      </c>
      <c r="G59" s="28">
        <f>G53-G55-G57</f>
        <v>995310.88976042566</v>
      </c>
    </row>
    <row r="60" spans="2:7" x14ac:dyDescent="0.25">
      <c r="B60" s="24"/>
      <c r="C60" s="27"/>
      <c r="E60" s="10" t="str">
        <f>IF(tb_DRETriAcum[[#This Row],[Descrição Contas DRE]]&lt;&gt;"",IF(tb_DRETriAcum[[#This Row],[SUB]]&lt;&gt;"",ESPACO_ACUM,"")&amp;tb_DRETriAcum[[#This Row],[Descrição Contas DRE]]&amp;COMPLEMENTO_ACUM,"")</f>
        <v/>
      </c>
      <c r="F60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0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1" spans="2:7" x14ac:dyDescent="0.25">
      <c r="B61" s="24"/>
      <c r="C61" s="27"/>
      <c r="E61" s="10" t="str">
        <f>IF(tb_DRETriAcum[[#This Row],[Descrição Contas DRE]]&lt;&gt;"",IF(tb_DRETriAcum[[#This Row],[SUB]]&lt;&gt;"",ESPACO_ACUM,"")&amp;tb_DRETriAcum[[#This Row],[Descrição Contas DRE]]&amp;COMPLEMENTO_ACUM,"")</f>
        <v/>
      </c>
      <c r="F61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1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2" spans="2:7" x14ac:dyDescent="0.25">
      <c r="B62" s="24"/>
      <c r="C62" s="27"/>
      <c r="E62" s="10" t="str">
        <f>IF(tb_DRETriAcum[[#This Row],[Descrição Contas DRE]]&lt;&gt;"",IF(tb_DRETriAcum[[#This Row],[SUB]]&lt;&gt;"",ESPACO_ACUM,"")&amp;tb_DRETriAcum[[#This Row],[Descrição Contas DRE]]&amp;COMPLEMENTO_ACUM,"")</f>
        <v/>
      </c>
      <c r="F62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2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3" spans="2:7" x14ac:dyDescent="0.25">
      <c r="B63" s="24"/>
      <c r="C63" s="27"/>
      <c r="E63" s="10" t="str">
        <f>IF(tb_DRETriAcum[[#This Row],[Descrição Contas DRE]]&lt;&gt;"",IF(tb_DRETriAcum[[#This Row],[SUB]]&lt;&gt;"",ESPACO_ACUM,"")&amp;tb_DRETriAcum[[#This Row],[Descrição Contas DRE]]&amp;COMPLEMENTO_ACUM,"")</f>
        <v/>
      </c>
      <c r="F63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3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4" spans="2:7" x14ac:dyDescent="0.25">
      <c r="B64" s="24"/>
      <c r="C64" s="27"/>
      <c r="E64" s="10" t="str">
        <f>IF(tb_DRETriAcum[[#This Row],[Descrição Contas DRE]]&lt;&gt;"",IF(tb_DRETriAcum[[#This Row],[SUB]]&lt;&gt;"",ESPACO_ACUM,"")&amp;tb_DRETriAcum[[#This Row],[Descrição Contas DRE]]&amp;COMPLEMENTO_ACUM,"")</f>
        <v/>
      </c>
      <c r="F64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4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5" spans="2:7" x14ac:dyDescent="0.25">
      <c r="B65" s="24"/>
      <c r="C65" s="27"/>
      <c r="E65" s="10" t="str">
        <f>IF(tb_DRETriAcum[[#This Row],[Descrição Contas DRE]]&lt;&gt;"",IF(tb_DRETriAcum[[#This Row],[SUB]]&lt;&gt;"",ESPACO_ACUM,"")&amp;tb_DRETriAcum[[#This Row],[Descrição Contas DRE]]&amp;COMPLEMENTO_ACUM,"")</f>
        <v/>
      </c>
      <c r="F65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5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6" spans="2:7" x14ac:dyDescent="0.25">
      <c r="B66" s="24"/>
      <c r="C66" s="27"/>
      <c r="E66" s="10" t="str">
        <f>IF(tb_DRETriAcum[[#This Row],[Descrição Contas DRE]]&lt;&gt;"",IF(tb_DRETriAcum[[#This Row],[SUB]]&lt;&gt;"",ESPACO_ACUM,"")&amp;tb_DRETriAcum[[#This Row],[Descrição Contas DRE]]&amp;COMPLEMENTO_ACUM,"")</f>
        <v/>
      </c>
      <c r="F66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6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7" spans="2:7" x14ac:dyDescent="0.25">
      <c r="B67" s="24"/>
      <c r="C67" s="27"/>
      <c r="E67" s="10" t="str">
        <f>IF(tb_DRETriAcum[[#This Row],[Descrição Contas DRE]]&lt;&gt;"",IF(tb_DRETriAcum[[#This Row],[SUB]]&lt;&gt;"",ESPACO_ACUM,"")&amp;tb_DRETriAcum[[#This Row],[Descrição Contas DRE]]&amp;COMPLEMENTO_ACUM,"")</f>
        <v/>
      </c>
      <c r="F67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7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8" spans="2:7" x14ac:dyDescent="0.25">
      <c r="B68" s="24"/>
      <c r="C68" s="27"/>
      <c r="E68" s="10" t="str">
        <f>IF(tb_DRETriAcum[[#This Row],[Descrição Contas DRE]]&lt;&gt;"",IF(tb_DRETriAcum[[#This Row],[SUB]]&lt;&gt;"",ESPACO_ACUM,"")&amp;tb_DRETriAcum[[#This Row],[Descrição Contas DRE]]&amp;COMPLEMENTO_ACUM,"")</f>
        <v/>
      </c>
      <c r="F68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8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9" spans="2:7" x14ac:dyDescent="0.25">
      <c r="B69" s="24"/>
      <c r="C69" s="27"/>
      <c r="E69" s="10" t="str">
        <f>IF(tb_DRETriAcum[[#This Row],[Descrição Contas DRE]]&lt;&gt;"",IF(tb_DRETriAcum[[#This Row],[SUB]]&lt;&gt;"",ESPACO_ACUM,"")&amp;tb_DRETriAcum[[#This Row],[Descrição Contas DRE]]&amp;COMPLEMENTO_ACUM,"")</f>
        <v/>
      </c>
      <c r="F69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9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70" spans="2:7" x14ac:dyDescent="0.25">
      <c r="B70" s="24"/>
      <c r="C70" s="27"/>
      <c r="E70" s="11" t="str">
        <f>IF(tb_DRETriAcum[[#This Row],[Descrição Contas DRE]]&lt;&gt;"",IF(tb_DRETriAcum[[#This Row],[SUB]]&lt;&gt;"",ESPACO_ACUM,"")&amp;tb_DRETriAcum[[#This Row],[Descrição Contas DRE]]&amp;COMPLEMENTO_ACUM,"")</f>
        <v/>
      </c>
      <c r="F70" s="15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70" s="15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</sheetData>
  <mergeCells count="6">
    <mergeCell ref="E6:G6"/>
    <mergeCell ref="E1:G1"/>
    <mergeCell ref="E2:G2"/>
    <mergeCell ref="E3:G3"/>
    <mergeCell ref="E4:G4"/>
    <mergeCell ref="E5:G5"/>
  </mergeCells>
  <dataValidations count="2">
    <dataValidation type="list" allowBlank="1" showInputMessage="1" showErrorMessage="1" sqref="D13 B11:B70">
      <formula1>lst_DescDRE</formula1>
    </dataValidation>
    <dataValidation type="list" allowBlank="1" showInputMessage="1" showErrorMessage="1" sqref="B2">
      <formula1>lst_Trimestre</formula1>
    </dataValidation>
  </dataValidations>
  <printOptions horizontalCentered="1"/>
  <pageMargins left="0.51181102362204722" right="0.51181102362204722" top="0.98425196850393704" bottom="0.78740157480314965" header="0.31496062992125984" footer="0.31496062992125984"/>
  <pageSetup paperSize="190" scale="64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BaseDados">
    <tabColor theme="4" tint="0.39997558519241921"/>
  </sheetPr>
  <dimension ref="A1:S33"/>
  <sheetViews>
    <sheetView showGridLines="0" workbookViewId="0">
      <selection activeCell="C2" sqref="C2"/>
    </sheetView>
  </sheetViews>
  <sheetFormatPr defaultRowHeight="15" x14ac:dyDescent="0.25"/>
  <cols>
    <col min="1" max="1" width="17.5703125" customWidth="1"/>
    <col min="2" max="2" width="53" bestFit="1" customWidth="1"/>
    <col min="3" max="3" width="42.28515625" customWidth="1"/>
    <col min="4" max="19" width="15.7109375" customWidth="1"/>
  </cols>
  <sheetData>
    <row r="1" spans="1:19" ht="45" customHeight="1" x14ac:dyDescent="0.25">
      <c r="A1" s="3" t="s">
        <v>33</v>
      </c>
      <c r="B1" s="3" t="s">
        <v>32</v>
      </c>
      <c r="C1" s="3" t="s">
        <v>34</v>
      </c>
      <c r="D1" s="3" t="s">
        <v>37</v>
      </c>
      <c r="E1" s="3" t="s">
        <v>38</v>
      </c>
      <c r="F1" s="3" t="s">
        <v>39</v>
      </c>
      <c r="G1" s="3" t="s">
        <v>40</v>
      </c>
      <c r="H1" s="3" t="s">
        <v>41</v>
      </c>
      <c r="I1" s="3" t="s">
        <v>42</v>
      </c>
      <c r="J1" s="3" t="s">
        <v>43</v>
      </c>
      <c r="K1" s="3" t="s">
        <v>44</v>
      </c>
      <c r="L1" s="3" t="s">
        <v>45</v>
      </c>
      <c r="M1" s="3" t="s">
        <v>46</v>
      </c>
      <c r="N1" s="3" t="s">
        <v>47</v>
      </c>
      <c r="O1" s="3" t="s">
        <v>48</v>
      </c>
      <c r="P1" s="3" t="s">
        <v>80</v>
      </c>
      <c r="Q1" s="3" t="s">
        <v>81</v>
      </c>
      <c r="R1" s="3" t="s">
        <v>82</v>
      </c>
      <c r="S1" s="3" t="s">
        <v>83</v>
      </c>
    </row>
    <row r="2" spans="1:19" x14ac:dyDescent="0.25">
      <c r="A2" s="4">
        <v>1311210100</v>
      </c>
      <c r="B2" t="s">
        <v>10</v>
      </c>
      <c r="C2" s="4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2" s="5">
        <v>73757.569174800345</v>
      </c>
      <c r="E2" s="5">
        <v>73760.978926353157</v>
      </c>
      <c r="F2" s="5">
        <v>73359.72410825199</v>
      </c>
      <c r="G2" s="5">
        <v>22.070425909494233</v>
      </c>
      <c r="H2" s="5"/>
      <c r="I2" s="5"/>
      <c r="J2" s="5"/>
      <c r="K2" s="5"/>
      <c r="L2" s="5"/>
      <c r="M2" s="5"/>
      <c r="N2" s="5"/>
      <c r="O2" s="5"/>
      <c r="P2" s="5">
        <f>SUM(tb_BaseDados[[#This Row],[Janeiro]:[Março]])</f>
        <v>220878.27220940549</v>
      </c>
      <c r="Q2" s="5">
        <f>SUM(tb_BaseDados[[#This Row],[Abril]:[Junho]])</f>
        <v>22.070425909494233</v>
      </c>
      <c r="R2" s="5">
        <f>SUM(tb_BaseDados[[#This Row],[Julho]:[Setembro]])</f>
        <v>0</v>
      </c>
      <c r="S2" s="5">
        <f>SUM(tb_BaseDados[[#This Row],[Outubro]:[Dezembro]])</f>
        <v>0</v>
      </c>
    </row>
    <row r="3" spans="1:19" x14ac:dyDescent="0.25">
      <c r="A3" s="4">
        <v>1311210300</v>
      </c>
      <c r="B3" t="s">
        <v>11</v>
      </c>
      <c r="C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3" s="5">
        <v>3104.2464418811005</v>
      </c>
      <c r="E3" s="5">
        <v>2857.4273203194321</v>
      </c>
      <c r="F3" s="5">
        <v>2983.8142857142857</v>
      </c>
      <c r="G3" s="5">
        <v>0</v>
      </c>
      <c r="H3" s="5"/>
      <c r="I3" s="5"/>
      <c r="J3" s="5"/>
      <c r="K3" s="5"/>
      <c r="L3" s="5"/>
      <c r="M3" s="5"/>
      <c r="N3" s="5"/>
      <c r="O3" s="5"/>
      <c r="P3" s="5">
        <f>SUM(tb_BaseDados[[#This Row],[Janeiro]:[Março]])</f>
        <v>8945.4880479148196</v>
      </c>
      <c r="Q3" s="5">
        <f>SUM(tb_BaseDados[[#This Row],[Abril]:[Junho]])</f>
        <v>0</v>
      </c>
      <c r="R3" s="5">
        <f>SUM(tb_BaseDados[[#This Row],[Julho]:[Setembro]])</f>
        <v>0</v>
      </c>
      <c r="S3" s="5">
        <f>SUM(tb_BaseDados[[#This Row],[Outubro]:[Dezembro]])</f>
        <v>0</v>
      </c>
    </row>
    <row r="4" spans="1:19" x14ac:dyDescent="0.25">
      <c r="A4" s="4">
        <v>1311210400</v>
      </c>
      <c r="B4" t="s">
        <v>12</v>
      </c>
      <c r="C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4" s="5">
        <v>32506.899707187222</v>
      </c>
      <c r="E4" s="5">
        <v>32533.767808340726</v>
      </c>
      <c r="F4" s="5">
        <v>32403.082236024846</v>
      </c>
      <c r="G4" s="5">
        <v>0</v>
      </c>
      <c r="H4" s="5"/>
      <c r="I4" s="5"/>
      <c r="J4" s="5"/>
      <c r="K4" s="5"/>
      <c r="L4" s="5"/>
      <c r="M4" s="5"/>
      <c r="N4" s="5"/>
      <c r="O4" s="5"/>
      <c r="P4" s="5">
        <f>SUM(tb_BaseDados[[#This Row],[Janeiro]:[Março]])</f>
        <v>97443.749751552794</v>
      </c>
      <c r="Q4" s="5">
        <f>SUM(tb_BaseDados[[#This Row],[Abril]:[Junho]])</f>
        <v>0</v>
      </c>
      <c r="R4" s="5">
        <f>SUM(tb_BaseDados[[#This Row],[Julho]:[Setembro]])</f>
        <v>0</v>
      </c>
      <c r="S4" s="5">
        <f>SUM(tb_BaseDados[[#This Row],[Outubro]:[Dezembro]])</f>
        <v>0</v>
      </c>
    </row>
    <row r="5" spans="1:19" x14ac:dyDescent="0.25">
      <c r="A5" s="4">
        <v>1311210500</v>
      </c>
      <c r="B5" t="s">
        <v>13</v>
      </c>
      <c r="C5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5" s="5">
        <v>12581.51314108252</v>
      </c>
      <c r="E5" s="5">
        <v>12518.543629103815</v>
      </c>
      <c r="F5" s="5">
        <v>12523.951295474712</v>
      </c>
      <c r="G5" s="5">
        <v>0</v>
      </c>
      <c r="H5" s="5"/>
      <c r="I5" s="5"/>
      <c r="J5" s="5"/>
      <c r="K5" s="5"/>
      <c r="L5" s="5"/>
      <c r="M5" s="5"/>
      <c r="N5" s="5"/>
      <c r="O5" s="5"/>
      <c r="P5" s="5">
        <f>SUM(tb_BaseDados[[#This Row],[Janeiro]:[Março]])</f>
        <v>37624.008065661044</v>
      </c>
      <c r="Q5" s="5">
        <f>SUM(tb_BaseDados[[#This Row],[Abril]:[Junho]])</f>
        <v>0</v>
      </c>
      <c r="R5" s="5">
        <f>SUM(tb_BaseDados[[#This Row],[Julho]:[Setembro]])</f>
        <v>0</v>
      </c>
      <c r="S5" s="5">
        <f>SUM(tb_BaseDados[[#This Row],[Outubro]:[Dezembro]])</f>
        <v>0</v>
      </c>
    </row>
    <row r="6" spans="1:19" x14ac:dyDescent="0.25">
      <c r="A6" s="4">
        <v>1311210600</v>
      </c>
      <c r="B6" t="s">
        <v>14</v>
      </c>
      <c r="C6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6" s="5">
        <v>9432.7458740017737</v>
      </c>
      <c r="E6" s="5">
        <v>9388.9077196095823</v>
      </c>
      <c r="F6" s="5">
        <v>9396.5923425022193</v>
      </c>
      <c r="G6" s="5">
        <v>0</v>
      </c>
      <c r="H6" s="5"/>
      <c r="I6" s="5"/>
      <c r="J6" s="5"/>
      <c r="K6" s="5"/>
      <c r="L6" s="5"/>
      <c r="M6" s="5"/>
      <c r="N6" s="5"/>
      <c r="O6" s="5"/>
      <c r="P6" s="5">
        <f>SUM(tb_BaseDados[[#This Row],[Janeiro]:[Março]])</f>
        <v>28218.245936113577</v>
      </c>
      <c r="Q6" s="5">
        <f>SUM(tb_BaseDados[[#This Row],[Abril]:[Junho]])</f>
        <v>0</v>
      </c>
      <c r="R6" s="5">
        <f>SUM(tb_BaseDados[[#This Row],[Julho]:[Setembro]])</f>
        <v>0</v>
      </c>
      <c r="S6" s="5">
        <f>SUM(tb_BaseDados[[#This Row],[Outubro]:[Dezembro]])</f>
        <v>0</v>
      </c>
    </row>
    <row r="7" spans="1:19" x14ac:dyDescent="0.25">
      <c r="A7" s="4">
        <v>1311210700</v>
      </c>
      <c r="B7" t="s">
        <v>15</v>
      </c>
      <c r="C7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Financeiras 2.7</v>
      </c>
      <c r="D7" s="5">
        <v>1079.3802129547471</v>
      </c>
      <c r="E7" s="5">
        <v>950.31896184560776</v>
      </c>
      <c r="F7" s="5">
        <v>1622.7753504880213</v>
      </c>
      <c r="G7" s="5">
        <v>0</v>
      </c>
      <c r="H7" s="5"/>
      <c r="I7" s="5"/>
      <c r="J7" s="5"/>
      <c r="K7" s="5"/>
      <c r="L7" s="5"/>
      <c r="M7" s="5"/>
      <c r="N7" s="5"/>
      <c r="O7" s="5"/>
      <c r="P7" s="5">
        <f>SUM(tb_BaseDados[[#This Row],[Janeiro]:[Março]])</f>
        <v>3652.4745252883758</v>
      </c>
      <c r="Q7" s="5">
        <f>SUM(tb_BaseDados[[#This Row],[Abril]:[Junho]])</f>
        <v>0</v>
      </c>
      <c r="R7" s="5">
        <f>SUM(tb_BaseDados[[#This Row],[Julho]:[Setembro]])</f>
        <v>0</v>
      </c>
      <c r="S7" s="5">
        <f>SUM(tb_BaseDados[[#This Row],[Outubro]:[Dezembro]])</f>
        <v>0</v>
      </c>
    </row>
    <row r="8" spans="1:19" x14ac:dyDescent="0.25">
      <c r="A8" s="4">
        <v>1312510100</v>
      </c>
      <c r="B8" t="s">
        <v>31</v>
      </c>
      <c r="C8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8" s="5">
        <v>7939.8236202307016</v>
      </c>
      <c r="E8" s="5">
        <v>7986.2291925465843</v>
      </c>
      <c r="F8" s="5">
        <v>7915.9892014196985</v>
      </c>
      <c r="G8" s="5">
        <v>0.41409050576752443</v>
      </c>
      <c r="H8" s="5"/>
      <c r="I8" s="5"/>
      <c r="J8" s="5"/>
      <c r="K8" s="5"/>
      <c r="L8" s="5"/>
      <c r="M8" s="5"/>
      <c r="N8" s="5"/>
      <c r="O8" s="5"/>
      <c r="P8" s="5">
        <f>SUM(tb_BaseDados[[#This Row],[Janeiro]:[Março]])</f>
        <v>23842.042014196984</v>
      </c>
      <c r="Q8" s="5">
        <f>SUM(tb_BaseDados[[#This Row],[Abril]:[Junho]])</f>
        <v>0.41409050576752443</v>
      </c>
      <c r="R8" s="5">
        <f>SUM(tb_BaseDados[[#This Row],[Julho]:[Setembro]])</f>
        <v>0</v>
      </c>
      <c r="S8" s="5">
        <f>SUM(tb_BaseDados[[#This Row],[Outubro]:[Dezembro]])</f>
        <v>0</v>
      </c>
    </row>
    <row r="9" spans="1:19" x14ac:dyDescent="0.25">
      <c r="A9" s="4">
        <v>1313210600</v>
      </c>
      <c r="B9" t="s">
        <v>16</v>
      </c>
      <c r="C9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9" s="5">
        <v>801.05137533274183</v>
      </c>
      <c r="E9" s="5">
        <v>755.47528837622008</v>
      </c>
      <c r="F9" s="5">
        <v>746.50496894409935</v>
      </c>
      <c r="G9" s="5">
        <v>0</v>
      </c>
      <c r="H9" s="5"/>
      <c r="I9" s="5"/>
      <c r="J9" s="5"/>
      <c r="K9" s="5"/>
      <c r="L9" s="5"/>
      <c r="M9" s="5"/>
      <c r="N9" s="5"/>
      <c r="O9" s="5"/>
      <c r="P9" s="5">
        <f>SUM(tb_BaseDados[[#This Row],[Janeiro]:[Março]])</f>
        <v>2303.031632653061</v>
      </c>
      <c r="Q9" s="5">
        <f>SUM(tb_BaseDados[[#This Row],[Abril]:[Junho]])</f>
        <v>0</v>
      </c>
      <c r="R9" s="5">
        <f>SUM(tb_BaseDados[[#This Row],[Julho]:[Setembro]])</f>
        <v>0</v>
      </c>
      <c r="S9" s="5">
        <f>SUM(tb_BaseDados[[#This Row],[Outubro]:[Dezembro]])</f>
        <v>0</v>
      </c>
    </row>
    <row r="10" spans="1:19" x14ac:dyDescent="0.25">
      <c r="A10" s="4">
        <v>1331110300</v>
      </c>
      <c r="B10" t="s">
        <v>17</v>
      </c>
      <c r="C10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10" s="5">
        <v>198.37871339840285</v>
      </c>
      <c r="E10" s="5">
        <v>273.65033717834962</v>
      </c>
      <c r="F10" s="5">
        <v>334.93768411712512</v>
      </c>
      <c r="G10" s="5">
        <v>75.341614906832305</v>
      </c>
      <c r="H10" s="5"/>
      <c r="I10" s="5"/>
      <c r="J10" s="5"/>
      <c r="K10" s="5"/>
      <c r="L10" s="5"/>
      <c r="M10" s="5"/>
      <c r="N10" s="5"/>
      <c r="O10" s="5"/>
      <c r="P10" s="5">
        <f>SUM(tb_BaseDados[[#This Row],[Janeiro]:[Março]])</f>
        <v>806.96673469387758</v>
      </c>
      <c r="Q10" s="5">
        <f>SUM(tb_BaseDados[[#This Row],[Abril]:[Junho]])</f>
        <v>75.341614906832305</v>
      </c>
      <c r="R10" s="5">
        <f>SUM(tb_BaseDados[[#This Row],[Julho]:[Setembro]])</f>
        <v>0</v>
      </c>
      <c r="S10" s="5">
        <f>SUM(tb_BaseDados[[#This Row],[Outubro]:[Dezembro]])</f>
        <v>0</v>
      </c>
    </row>
    <row r="11" spans="1:19" x14ac:dyDescent="0.25">
      <c r="A11" s="4">
        <v>1331110500</v>
      </c>
      <c r="B11" t="s">
        <v>18</v>
      </c>
      <c r="C11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11" s="5">
        <v>40.333682342502215</v>
      </c>
      <c r="E11" s="5">
        <v>55.356273291925461</v>
      </c>
      <c r="F11" s="5">
        <v>90.161118012422364</v>
      </c>
      <c r="G11" s="5">
        <v>0.33123336291038158</v>
      </c>
      <c r="H11" s="5"/>
      <c r="I11" s="5"/>
      <c r="J11" s="5"/>
      <c r="K11" s="5"/>
      <c r="L11" s="5"/>
      <c r="M11" s="5"/>
      <c r="N11" s="5"/>
      <c r="O11" s="5"/>
      <c r="P11" s="5">
        <f>SUM(tb_BaseDados[[#This Row],[Janeiro]:[Março]])</f>
        <v>185.85107364685004</v>
      </c>
      <c r="Q11" s="5">
        <f>SUM(tb_BaseDados[[#This Row],[Abril]:[Junho]])</f>
        <v>0.33123336291038158</v>
      </c>
      <c r="R11" s="5">
        <f>SUM(tb_BaseDados[[#This Row],[Julho]:[Setembro]])</f>
        <v>0</v>
      </c>
      <c r="S11" s="5">
        <f>SUM(tb_BaseDados[[#This Row],[Outubro]:[Dezembro]])</f>
        <v>0</v>
      </c>
    </row>
    <row r="12" spans="1:19" x14ac:dyDescent="0.25">
      <c r="A12" s="4">
        <v>1332310800</v>
      </c>
      <c r="B12" t="s">
        <v>19</v>
      </c>
      <c r="C12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12" s="5">
        <v>1885.6690417036377</v>
      </c>
      <c r="E12" s="5">
        <v>1975.3651996450756</v>
      </c>
      <c r="F12" s="5">
        <v>1924.4630434782609</v>
      </c>
      <c r="G12" s="5">
        <v>473.70985803016862</v>
      </c>
      <c r="H12" s="5"/>
      <c r="I12" s="5"/>
      <c r="J12" s="5"/>
      <c r="K12" s="5"/>
      <c r="L12" s="5"/>
      <c r="M12" s="5"/>
      <c r="N12" s="5"/>
      <c r="O12" s="5"/>
      <c r="P12" s="5">
        <f>SUM(tb_BaseDados[[#This Row],[Janeiro]:[Março]])</f>
        <v>5785.4972848269745</v>
      </c>
      <c r="Q12" s="5">
        <f>SUM(tb_BaseDados[[#This Row],[Abril]:[Junho]])</f>
        <v>473.70985803016862</v>
      </c>
      <c r="R12" s="5">
        <f>SUM(tb_BaseDados[[#This Row],[Julho]:[Setembro]])</f>
        <v>0</v>
      </c>
      <c r="S12" s="5">
        <f>SUM(tb_BaseDados[[#This Row],[Outubro]:[Dezembro]])</f>
        <v>0</v>
      </c>
    </row>
    <row r="13" spans="1:19" x14ac:dyDescent="0.25">
      <c r="A13" s="4">
        <v>1332320900</v>
      </c>
      <c r="B13" t="s">
        <v>20</v>
      </c>
      <c r="C1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13" s="5">
        <v>56.138553682342504</v>
      </c>
      <c r="E13" s="5">
        <v>-30.731224489795917</v>
      </c>
      <c r="F13" s="5">
        <v>26.169884649511978</v>
      </c>
      <c r="G13" s="5">
        <v>0</v>
      </c>
      <c r="H13" s="5"/>
      <c r="I13" s="5"/>
      <c r="J13" s="5"/>
      <c r="K13" s="5"/>
      <c r="L13" s="5"/>
      <c r="M13" s="5"/>
      <c r="N13" s="5"/>
      <c r="O13" s="5"/>
      <c r="P13" s="5">
        <f>SUM(tb_BaseDados[[#This Row],[Janeiro]:[Março]])</f>
        <v>51.577213842058569</v>
      </c>
      <c r="Q13" s="5">
        <f>SUM(tb_BaseDados[[#This Row],[Abril]:[Junho]])</f>
        <v>0</v>
      </c>
      <c r="R13" s="5">
        <f>SUM(tb_BaseDados[[#This Row],[Julho]:[Setembro]])</f>
        <v>0</v>
      </c>
      <c r="S13" s="5">
        <f>SUM(tb_BaseDados[[#This Row],[Outubro]:[Dezembro]])</f>
        <v>0</v>
      </c>
    </row>
    <row r="14" spans="1:19" x14ac:dyDescent="0.25">
      <c r="A14" s="4">
        <v>1332340300</v>
      </c>
      <c r="B14" t="s">
        <v>21</v>
      </c>
      <c r="C1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14" s="5">
        <v>0.742661934338953</v>
      </c>
      <c r="E14" s="5">
        <v>0.54677018633540375</v>
      </c>
      <c r="F14" s="5">
        <v>5.7309760425909495</v>
      </c>
      <c r="G14" s="5">
        <v>0</v>
      </c>
      <c r="H14" s="5"/>
      <c r="I14" s="5"/>
      <c r="J14" s="5"/>
      <c r="K14" s="5"/>
      <c r="L14" s="5"/>
      <c r="M14" s="5"/>
      <c r="N14" s="5"/>
      <c r="O14" s="5"/>
      <c r="P14" s="5">
        <f>SUM(tb_BaseDados[[#This Row],[Janeiro]:[Março]])</f>
        <v>7.0204081632653068</v>
      </c>
      <c r="Q14" s="5">
        <f>SUM(tb_BaseDados[[#This Row],[Abril]:[Junho]])</f>
        <v>0</v>
      </c>
      <c r="R14" s="5">
        <f>SUM(tb_BaseDados[[#This Row],[Julho]:[Setembro]])</f>
        <v>0</v>
      </c>
      <c r="S14" s="5">
        <f>SUM(tb_BaseDados[[#This Row],[Outubro]:[Dezembro]])</f>
        <v>0</v>
      </c>
    </row>
    <row r="15" spans="1:19" x14ac:dyDescent="0.25">
      <c r="A15" s="4">
        <v>1342310100</v>
      </c>
      <c r="B15" t="s">
        <v>29</v>
      </c>
      <c r="C15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15" s="5">
        <v>5.6051464063886426E-2</v>
      </c>
      <c r="E15" s="5">
        <v>2.3735581188997337E-2</v>
      </c>
      <c r="F15" s="5">
        <v>0.44213842058562558</v>
      </c>
      <c r="G15" s="5">
        <v>8.1366459627329191E-3</v>
      </c>
      <c r="H15" s="5"/>
      <c r="I15" s="5"/>
      <c r="J15" s="5"/>
      <c r="K15" s="5"/>
      <c r="L15" s="5"/>
      <c r="M15" s="5"/>
      <c r="N15" s="5"/>
      <c r="O15" s="5"/>
      <c r="P15" s="5">
        <f>SUM(tb_BaseDados[[#This Row],[Janeiro]:[Março]])</f>
        <v>0.52192546583850929</v>
      </c>
      <c r="Q15" s="5">
        <f>SUM(tb_BaseDados[[#This Row],[Abril]:[Junho]])</f>
        <v>8.1366459627329191E-3</v>
      </c>
      <c r="R15" s="5">
        <f>SUM(tb_BaseDados[[#This Row],[Julho]:[Setembro]])</f>
        <v>0</v>
      </c>
      <c r="S15" s="5">
        <f>SUM(tb_BaseDados[[#This Row],[Outubro]:[Dezembro]])</f>
        <v>0</v>
      </c>
    </row>
    <row r="16" spans="1:19" x14ac:dyDescent="0.25">
      <c r="A16" s="4">
        <v>1365020100</v>
      </c>
      <c r="B16" t="s">
        <v>30</v>
      </c>
      <c r="C16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16" s="5">
        <v>2411.9201330967171</v>
      </c>
      <c r="E16" s="5">
        <v>9928.8776574977801</v>
      </c>
      <c r="F16" s="5">
        <v>2354.3277196095828</v>
      </c>
      <c r="G16" s="5">
        <v>0</v>
      </c>
      <c r="H16" s="5"/>
      <c r="I16" s="5"/>
      <c r="J16" s="5"/>
      <c r="K16" s="5"/>
      <c r="L16" s="5"/>
      <c r="M16" s="5"/>
      <c r="N16" s="5"/>
      <c r="O16" s="5"/>
      <c r="P16" s="5">
        <f>SUM(tb_BaseDados[[#This Row],[Janeiro]:[Março]])</f>
        <v>14695.12551020408</v>
      </c>
      <c r="Q16" s="5">
        <f>SUM(tb_BaseDados[[#This Row],[Abril]:[Junho]])</f>
        <v>0</v>
      </c>
      <c r="R16" s="5">
        <f>SUM(tb_BaseDados[[#This Row],[Julho]:[Setembro]])</f>
        <v>0</v>
      </c>
      <c r="S16" s="5">
        <f>SUM(tb_BaseDados[[#This Row],[Outubro]:[Dezembro]])</f>
        <v>0</v>
      </c>
    </row>
    <row r="17" spans="1:19" x14ac:dyDescent="0.25">
      <c r="A17" s="4">
        <v>1371110800</v>
      </c>
      <c r="B17" t="s">
        <v>23</v>
      </c>
      <c r="C17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17" s="5">
        <v>8.5164241348713396</v>
      </c>
      <c r="E17" s="5">
        <v>1.4242236024844719</v>
      </c>
      <c r="F17" s="5">
        <v>-9.8040195208518188</v>
      </c>
      <c r="G17" s="5">
        <v>0</v>
      </c>
      <c r="H17" s="5"/>
      <c r="I17" s="5"/>
      <c r="J17" s="5"/>
      <c r="K17" s="5"/>
      <c r="L17" s="5"/>
      <c r="M17" s="5"/>
      <c r="N17" s="5"/>
      <c r="O17" s="5"/>
      <c r="P17" s="5">
        <f>SUM(tb_BaseDados[[#This Row],[Janeiro]:[Março]])</f>
        <v>0.13662821650399337</v>
      </c>
      <c r="Q17" s="5">
        <f>SUM(tb_BaseDados[[#This Row],[Abril]:[Junho]])</f>
        <v>0</v>
      </c>
      <c r="R17" s="5">
        <f>SUM(tb_BaseDados[[#This Row],[Julho]:[Setembro]])</f>
        <v>0</v>
      </c>
      <c r="S17" s="5">
        <f>SUM(tb_BaseDados[[#This Row],[Outubro]:[Dezembro]])</f>
        <v>0</v>
      </c>
    </row>
    <row r="18" spans="1:19" x14ac:dyDescent="0.25">
      <c r="A18" s="4">
        <v>1371129900</v>
      </c>
      <c r="B18" t="s">
        <v>24</v>
      </c>
      <c r="C18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18" s="5">
        <v>1.379396628216504</v>
      </c>
      <c r="E18" s="5">
        <v>0</v>
      </c>
      <c r="F18" s="5">
        <v>-1.379396628216504</v>
      </c>
      <c r="G18" s="5">
        <v>0</v>
      </c>
      <c r="H18" s="5"/>
      <c r="I18" s="5"/>
      <c r="J18" s="5"/>
      <c r="K18" s="5"/>
      <c r="L18" s="5"/>
      <c r="M18" s="5"/>
      <c r="N18" s="5"/>
      <c r="O18" s="5"/>
      <c r="P18" s="5">
        <f>SUM(tb_BaseDados[[#This Row],[Janeiro]:[Março]])</f>
        <v>0</v>
      </c>
      <c r="Q18" s="5">
        <f>SUM(tb_BaseDados[[#This Row],[Abril]:[Junho]])</f>
        <v>0</v>
      </c>
      <c r="R18" s="5">
        <f>SUM(tb_BaseDados[[#This Row],[Julho]:[Setembro]])</f>
        <v>0</v>
      </c>
      <c r="S18" s="5">
        <f>SUM(tb_BaseDados[[#This Row],[Outubro]:[Dezembro]])</f>
        <v>0</v>
      </c>
    </row>
    <row r="19" spans="1:19" x14ac:dyDescent="0.25">
      <c r="A19" s="4">
        <v>1371220100</v>
      </c>
      <c r="B19" t="s">
        <v>25</v>
      </c>
      <c r="C19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19" s="5">
        <v>2.2750842945874004</v>
      </c>
      <c r="E19" s="5">
        <v>9.0002484472049691</v>
      </c>
      <c r="F19" s="5">
        <v>12.166246672582076</v>
      </c>
      <c r="G19" s="5">
        <v>8.6183762200532392</v>
      </c>
      <c r="H19" s="5"/>
      <c r="I19" s="5"/>
      <c r="J19" s="5"/>
      <c r="K19" s="5"/>
      <c r="L19" s="5"/>
      <c r="M19" s="5"/>
      <c r="N19" s="5"/>
      <c r="O19" s="5"/>
      <c r="P19" s="5">
        <f>SUM(tb_BaseDados[[#This Row],[Janeiro]:[Março]])</f>
        <v>23.441579414374445</v>
      </c>
      <c r="Q19" s="5">
        <f>SUM(tb_BaseDados[[#This Row],[Abril]:[Junho]])</f>
        <v>8.6183762200532392</v>
      </c>
      <c r="R19" s="5">
        <f>SUM(tb_BaseDados[[#This Row],[Julho]:[Setembro]])</f>
        <v>0</v>
      </c>
      <c r="S19" s="5">
        <f>SUM(tb_BaseDados[[#This Row],[Outubro]:[Dezembro]])</f>
        <v>0</v>
      </c>
    </row>
    <row r="20" spans="1:19" ht="14.25" customHeight="1" x14ac:dyDescent="0.25">
      <c r="A20" s="4">
        <v>1372110600</v>
      </c>
      <c r="B20" t="s">
        <v>27</v>
      </c>
      <c r="C20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20" s="5">
        <v>9.6038243123336287</v>
      </c>
      <c r="E20" s="5">
        <v>0.34485359361135759</v>
      </c>
      <c r="F20" s="5">
        <v>0</v>
      </c>
      <c r="G20" s="5">
        <v>0</v>
      </c>
      <c r="H20" s="5"/>
      <c r="I20" s="5"/>
      <c r="J20" s="5"/>
      <c r="K20" s="5"/>
      <c r="L20" s="5"/>
      <c r="M20" s="5"/>
      <c r="N20" s="5"/>
      <c r="O20" s="5"/>
      <c r="P20" s="5">
        <f>SUM(tb_BaseDados[[#This Row],[Janeiro]:[Março]])</f>
        <v>9.9486779059449866</v>
      </c>
      <c r="Q20" s="5">
        <f>SUM(tb_BaseDados[[#This Row],[Abril]:[Junho]])</f>
        <v>0</v>
      </c>
      <c r="R20" s="5">
        <f>SUM(tb_BaseDados[[#This Row],[Julho]:[Setembro]])</f>
        <v>0</v>
      </c>
      <c r="S20" s="5">
        <f>SUM(tb_BaseDados[[#This Row],[Outubro]:[Dezembro]])</f>
        <v>0</v>
      </c>
    </row>
    <row r="21" spans="1:19" x14ac:dyDescent="0.25">
      <c r="A21" s="4">
        <v>1372120500</v>
      </c>
      <c r="B21" t="s">
        <v>26</v>
      </c>
      <c r="C21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21" s="5">
        <v>0.41219165927240464</v>
      </c>
      <c r="E21" s="5">
        <v>0.41219165927240464</v>
      </c>
      <c r="F21" s="5">
        <v>0.41219165927240464</v>
      </c>
      <c r="G21" s="5">
        <v>0.41219165927240464</v>
      </c>
      <c r="H21" s="5"/>
      <c r="I21" s="5"/>
      <c r="J21" s="5"/>
      <c r="K21" s="5"/>
      <c r="L21" s="5"/>
      <c r="M21" s="5"/>
      <c r="N21" s="5"/>
      <c r="O21" s="5"/>
      <c r="P21" s="5">
        <f>SUM(tb_BaseDados[[#This Row],[Janeiro]:[Março]])</f>
        <v>1.2365749778172139</v>
      </c>
      <c r="Q21" s="5">
        <f>SUM(tb_BaseDados[[#This Row],[Abril]:[Junho]])</f>
        <v>0.41219165927240464</v>
      </c>
      <c r="R21" s="5">
        <f>SUM(tb_BaseDados[[#This Row],[Julho]:[Setembro]])</f>
        <v>0</v>
      </c>
      <c r="S21" s="5">
        <f>SUM(tb_BaseDados[[#This Row],[Outubro]:[Dezembro]])</f>
        <v>0</v>
      </c>
    </row>
    <row r="22" spans="1:19" x14ac:dyDescent="0.25">
      <c r="A22" s="4">
        <v>1372350100</v>
      </c>
      <c r="B22" t="s">
        <v>28</v>
      </c>
      <c r="C22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22" s="5">
        <v>1.2373291925465839</v>
      </c>
      <c r="E22" s="5">
        <v>0.78895297249334517</v>
      </c>
      <c r="F22" s="5">
        <v>1.0948092280390416</v>
      </c>
      <c r="G22" s="5">
        <v>7.6858917480035496E-2</v>
      </c>
      <c r="H22" s="5"/>
      <c r="I22" s="5"/>
      <c r="J22" s="5"/>
      <c r="K22" s="5"/>
      <c r="L22" s="5"/>
      <c r="M22" s="5"/>
      <c r="N22" s="5"/>
      <c r="O22" s="5"/>
      <c r="P22" s="5">
        <f>SUM(tb_BaseDados[[#This Row],[Janeiro]:[Março]])</f>
        <v>3.1210913930789705</v>
      </c>
      <c r="Q22" s="5">
        <f>SUM(tb_BaseDados[[#This Row],[Abril]:[Junho]])</f>
        <v>7.6858917480035496E-2</v>
      </c>
      <c r="R22" s="5">
        <f>SUM(tb_BaseDados[[#This Row],[Julho]:[Setembro]])</f>
        <v>0</v>
      </c>
      <c r="S22" s="5">
        <f>SUM(tb_BaseDados[[#This Row],[Outubro]:[Dezembro]])</f>
        <v>0</v>
      </c>
    </row>
    <row r="23" spans="1:19" x14ac:dyDescent="0.25">
      <c r="A23" s="4">
        <v>1394110100</v>
      </c>
      <c r="B23" t="s">
        <v>22</v>
      </c>
      <c r="C2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23" s="5">
        <v>231.37012422360249</v>
      </c>
      <c r="E23" s="5">
        <v>177.49843833185446</v>
      </c>
      <c r="F23" s="5">
        <v>30.650425909494231</v>
      </c>
      <c r="G23" s="5">
        <v>86.388322981366457</v>
      </c>
      <c r="H23" s="5"/>
      <c r="I23" s="5"/>
      <c r="J23" s="5"/>
      <c r="K23" s="5"/>
      <c r="L23" s="5"/>
      <c r="M23" s="5"/>
      <c r="N23" s="5"/>
      <c r="O23" s="5"/>
      <c r="P23" s="5">
        <f>SUM(tb_BaseDados[[#This Row],[Janeiro]:[Março]])</f>
        <v>439.51898846495118</v>
      </c>
      <c r="Q23" s="5">
        <f>SUM(tb_BaseDados[[#This Row],[Abril]:[Junho]])</f>
        <v>86.388322981366457</v>
      </c>
      <c r="R23" s="5">
        <f>SUM(tb_BaseDados[[#This Row],[Julho]:[Setembro]])</f>
        <v>0</v>
      </c>
      <c r="S23" s="5">
        <f>SUM(tb_BaseDados[[#This Row],[Outubro]:[Dezembro]])</f>
        <v>0</v>
      </c>
    </row>
    <row r="24" spans="1:19" x14ac:dyDescent="0.25">
      <c r="A24" s="4">
        <v>1431111200</v>
      </c>
      <c r="B24" t="s">
        <v>0</v>
      </c>
      <c r="C2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24" s="5">
        <v>140.17913930789709</v>
      </c>
      <c r="E24" s="5">
        <v>195.34102928127771</v>
      </c>
      <c r="F24" s="5">
        <v>65.744596273291933</v>
      </c>
      <c r="G24" s="5">
        <v>1.0652528837622004</v>
      </c>
      <c r="H24" s="5"/>
      <c r="I24" s="5"/>
      <c r="J24" s="5"/>
      <c r="K24" s="5"/>
      <c r="L24" s="5"/>
      <c r="M24" s="5"/>
      <c r="N24" s="5"/>
      <c r="O24" s="5"/>
      <c r="P24" s="5">
        <f>SUM(tb_BaseDados[[#This Row],[Janeiro]:[Março]])</f>
        <v>401.26476486246668</v>
      </c>
      <c r="Q24" s="5">
        <f>SUM(tb_BaseDados[[#This Row],[Abril]:[Junho]])</f>
        <v>1.0652528837622004</v>
      </c>
      <c r="R24" s="5">
        <f>SUM(tb_BaseDados[[#This Row],[Julho]:[Setembro]])</f>
        <v>0</v>
      </c>
      <c r="S24" s="5">
        <f>SUM(tb_BaseDados[[#This Row],[Outubro]:[Dezembro]])</f>
        <v>0</v>
      </c>
    </row>
    <row r="25" spans="1:19" x14ac:dyDescent="0.25">
      <c r="A25" s="4">
        <v>1433110100</v>
      </c>
      <c r="B25" t="s">
        <v>1</v>
      </c>
      <c r="C25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25" s="5">
        <v>252.21303460514642</v>
      </c>
      <c r="E25" s="5">
        <v>899.42702750665489</v>
      </c>
      <c r="F25" s="5">
        <v>2683.0673203194324</v>
      </c>
      <c r="G25" s="5">
        <v>59.026654835847374</v>
      </c>
      <c r="H25" s="5"/>
      <c r="I25" s="5"/>
      <c r="J25" s="5"/>
      <c r="K25" s="5"/>
      <c r="L25" s="5"/>
      <c r="M25" s="5"/>
      <c r="N25" s="5"/>
      <c r="O25" s="5"/>
      <c r="P25" s="5">
        <f>SUM(tb_BaseDados[[#This Row],[Janeiro]:[Março]])</f>
        <v>3834.7073824312338</v>
      </c>
      <c r="Q25" s="5">
        <f>SUM(tb_BaseDados[[#This Row],[Abril]:[Junho]])</f>
        <v>59.026654835847374</v>
      </c>
      <c r="R25" s="5">
        <f>SUM(tb_BaseDados[[#This Row],[Julho]:[Setembro]])</f>
        <v>0</v>
      </c>
      <c r="S25" s="5">
        <f>SUM(tb_BaseDados[[#This Row],[Outubro]:[Dezembro]])</f>
        <v>0</v>
      </c>
    </row>
    <row r="26" spans="1:19" x14ac:dyDescent="0.25">
      <c r="A26" s="4">
        <v>1433910900</v>
      </c>
      <c r="B26" t="s">
        <v>2</v>
      </c>
      <c r="C26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Outras Receitas Operacionais 2.5(b)</v>
      </c>
      <c r="D26" s="5">
        <v>-126.16891748003549</v>
      </c>
      <c r="E26" s="5">
        <v>-121.68896184560781</v>
      </c>
      <c r="F26" s="5">
        <v>-169.22364685004436</v>
      </c>
      <c r="G26" s="5">
        <v>0</v>
      </c>
      <c r="H26" s="5"/>
      <c r="I26" s="5"/>
      <c r="J26" s="5"/>
      <c r="K26" s="5"/>
      <c r="L26" s="5"/>
      <c r="M26" s="5"/>
      <c r="N26" s="5"/>
      <c r="O26" s="5"/>
      <c r="P26" s="5">
        <f>SUM(tb_BaseDados[[#This Row],[Janeiro]:[Março]])</f>
        <v>-417.08152617568766</v>
      </c>
      <c r="Q26" s="5">
        <f>SUM(tb_BaseDados[[#This Row],[Abril]:[Junho]])</f>
        <v>0</v>
      </c>
      <c r="R26" s="5">
        <f>SUM(tb_BaseDados[[#This Row],[Julho]:[Setembro]])</f>
        <v>0</v>
      </c>
      <c r="S26" s="5">
        <f>SUM(tb_BaseDados[[#This Row],[Outubro]:[Dezembro]])</f>
        <v>0</v>
      </c>
    </row>
    <row r="27" spans="1:19" x14ac:dyDescent="0.25">
      <c r="A27" s="4">
        <v>1451120200</v>
      </c>
      <c r="B27" t="s">
        <v>3</v>
      </c>
      <c r="C27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 xml:space="preserve">Convênios 2.5(c) </v>
      </c>
      <c r="D27" s="5">
        <v>171074.77984915703</v>
      </c>
      <c r="E27" s="5">
        <v>171756.35263531498</v>
      </c>
      <c r="F27" s="5">
        <v>182955.55076308784</v>
      </c>
      <c r="G27" s="5">
        <v>51480.808535936114</v>
      </c>
      <c r="H27" s="5"/>
      <c r="I27" s="5"/>
      <c r="J27" s="5"/>
      <c r="K27" s="5"/>
      <c r="L27" s="5"/>
      <c r="M27" s="5"/>
      <c r="N27" s="5"/>
      <c r="O27" s="5"/>
      <c r="P27" s="5">
        <f>SUM(tb_BaseDados[[#This Row],[Janeiro]:[Março]])</f>
        <v>525786.68324755982</v>
      </c>
      <c r="Q27" s="5">
        <f>SUM(tb_BaseDados[[#This Row],[Abril]:[Junho]])</f>
        <v>51480.808535936114</v>
      </c>
      <c r="R27" s="5">
        <f>SUM(tb_BaseDados[[#This Row],[Julho]:[Setembro]])</f>
        <v>0</v>
      </c>
      <c r="S27" s="5">
        <f>SUM(tb_BaseDados[[#This Row],[Outubro]:[Dezembro]])</f>
        <v>0</v>
      </c>
    </row>
    <row r="28" spans="1:19" x14ac:dyDescent="0.25">
      <c r="A28" s="4">
        <v>1451220300</v>
      </c>
      <c r="B28" t="s">
        <v>5</v>
      </c>
      <c r="C28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 xml:space="preserve">Convênios 2.5(c) </v>
      </c>
      <c r="D28" s="5">
        <v>1128.4872404614021</v>
      </c>
      <c r="E28" s="5">
        <v>363.08905057675241</v>
      </c>
      <c r="F28" s="5">
        <v>758.79472049689446</v>
      </c>
      <c r="G28" s="5">
        <v>63.885412599822537</v>
      </c>
      <c r="H28" s="5"/>
      <c r="I28" s="5"/>
      <c r="J28" s="5"/>
      <c r="K28" s="5"/>
      <c r="L28" s="5"/>
      <c r="M28" s="5"/>
      <c r="N28" s="5"/>
      <c r="O28" s="5"/>
      <c r="P28" s="5">
        <f>SUM(tb_BaseDados[[#This Row],[Janeiro]:[Março]])</f>
        <v>2250.3710115350491</v>
      </c>
      <c r="Q28" s="5">
        <f>SUM(tb_BaseDados[[#This Row],[Abril]:[Junho]])</f>
        <v>63.885412599822537</v>
      </c>
      <c r="R28" s="5">
        <f>SUM(tb_BaseDados[[#This Row],[Julho]:[Setembro]])</f>
        <v>0</v>
      </c>
      <c r="S28" s="5">
        <f>SUM(tb_BaseDados[[#This Row],[Outubro]:[Dezembro]])</f>
        <v>0</v>
      </c>
    </row>
    <row r="29" spans="1:19" x14ac:dyDescent="0.25">
      <c r="A29" s="4">
        <v>1459020100</v>
      </c>
      <c r="B29" t="s">
        <v>4</v>
      </c>
      <c r="C29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29" s="5">
        <v>1954.7779414374447</v>
      </c>
      <c r="E29" s="5">
        <v>833.98818101153506</v>
      </c>
      <c r="F29" s="5">
        <v>321.07295474711623</v>
      </c>
      <c r="G29" s="5">
        <v>0.27116237799467613</v>
      </c>
      <c r="H29" s="5"/>
      <c r="I29" s="5"/>
      <c r="J29" s="5"/>
      <c r="K29" s="5"/>
      <c r="L29" s="5"/>
      <c r="M29" s="5"/>
      <c r="N29" s="5"/>
      <c r="O29" s="5"/>
      <c r="P29" s="5">
        <f>SUM(tb_BaseDados[[#This Row],[Janeiro]:[Março]])</f>
        <v>3109.8390771960958</v>
      </c>
      <c r="Q29" s="5">
        <f>SUM(tb_BaseDados[[#This Row],[Abril]:[Junho]])</f>
        <v>0.27116237799467613</v>
      </c>
      <c r="R29" s="5">
        <f>SUM(tb_BaseDados[[#This Row],[Julho]:[Setembro]])</f>
        <v>0</v>
      </c>
      <c r="S29" s="5">
        <f>SUM(tb_BaseDados[[#This Row],[Outubro]:[Dezembro]])</f>
        <v>0</v>
      </c>
    </row>
    <row r="30" spans="1:19" x14ac:dyDescent="0.25">
      <c r="A30" s="4">
        <v>1463110100</v>
      </c>
      <c r="B30" t="s">
        <v>6</v>
      </c>
      <c r="C30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30" s="5">
        <v>9.0434338952972499</v>
      </c>
      <c r="E30" s="5">
        <v>9.4358030168589178</v>
      </c>
      <c r="F30" s="5">
        <v>9.5112688553682343</v>
      </c>
      <c r="G30" s="5">
        <v>0</v>
      </c>
      <c r="H30" s="5"/>
      <c r="I30" s="5"/>
      <c r="J30" s="5"/>
      <c r="K30" s="5"/>
      <c r="L30" s="5"/>
      <c r="M30" s="5"/>
      <c r="N30" s="5"/>
      <c r="O30" s="5"/>
      <c r="P30" s="5">
        <f>SUM(tb_BaseDados[[#This Row],[Janeiro]:[Março]])</f>
        <v>27.990505767524404</v>
      </c>
      <c r="Q30" s="5">
        <f>SUM(tb_BaseDados[[#This Row],[Abril]:[Junho]])</f>
        <v>0</v>
      </c>
      <c r="R30" s="5">
        <f>SUM(tb_BaseDados[[#This Row],[Julho]:[Setembro]])</f>
        <v>0</v>
      </c>
      <c r="S30" s="5">
        <f>SUM(tb_BaseDados[[#This Row],[Outubro]:[Dezembro]])</f>
        <v>0</v>
      </c>
    </row>
    <row r="31" spans="1:19" x14ac:dyDescent="0.25">
      <c r="A31" s="4">
        <v>1463920100</v>
      </c>
      <c r="B31" t="s">
        <v>7</v>
      </c>
      <c r="C31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31" s="5">
        <v>2512.4677817213842</v>
      </c>
      <c r="E31" s="5">
        <v>9952.5133984028398</v>
      </c>
      <c r="F31" s="5">
        <v>2463.5619787045252</v>
      </c>
      <c r="G31" s="5">
        <v>0</v>
      </c>
      <c r="H31" s="5"/>
      <c r="I31" s="5"/>
      <c r="J31" s="5"/>
      <c r="K31" s="5"/>
      <c r="L31" s="5"/>
      <c r="M31" s="5"/>
      <c r="N31" s="5"/>
      <c r="O31" s="5"/>
      <c r="P31" s="5">
        <f>SUM(tb_BaseDados[[#This Row],[Janeiro]:[Março]])</f>
        <v>14928.54315882875</v>
      </c>
      <c r="Q31" s="5">
        <f>SUM(tb_BaseDados[[#This Row],[Abril]:[Junho]])</f>
        <v>0</v>
      </c>
      <c r="R31" s="5">
        <f>SUM(tb_BaseDados[[#This Row],[Julho]:[Setembro]])</f>
        <v>0</v>
      </c>
      <c r="S31" s="5">
        <f>SUM(tb_BaseDados[[#This Row],[Outubro]:[Dezembro]])</f>
        <v>0</v>
      </c>
    </row>
    <row r="32" spans="1:19" x14ac:dyDescent="0.25">
      <c r="A32" s="4">
        <v>1499610100</v>
      </c>
      <c r="B32" t="s">
        <v>8</v>
      </c>
      <c r="C32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32" s="5">
        <v>5.0779325643300801</v>
      </c>
      <c r="E32" s="5">
        <v>5.9123336291038155</v>
      </c>
      <c r="F32" s="5">
        <v>5.5626796805678795</v>
      </c>
      <c r="G32" s="5">
        <v>1.755527950310559</v>
      </c>
      <c r="H32" s="5"/>
      <c r="I32" s="5"/>
      <c r="J32" s="5"/>
      <c r="K32" s="5"/>
      <c r="L32" s="5"/>
      <c r="M32" s="5"/>
      <c r="N32" s="5"/>
      <c r="O32" s="5"/>
      <c r="P32" s="5">
        <f>SUM(tb_BaseDados[[#This Row],[Janeiro]:[Março]])</f>
        <v>16.552945874001775</v>
      </c>
      <c r="Q32" s="5">
        <f>SUM(tb_BaseDados[[#This Row],[Abril]:[Junho]])</f>
        <v>1.755527950310559</v>
      </c>
      <c r="R32" s="5">
        <f>SUM(tb_BaseDados[[#This Row],[Julho]:[Setembro]])</f>
        <v>0</v>
      </c>
      <c r="S32" s="5">
        <f>SUM(tb_BaseDados[[#This Row],[Outubro]:[Dezembro]])</f>
        <v>0</v>
      </c>
    </row>
    <row r="33" spans="1:19" x14ac:dyDescent="0.25">
      <c r="A33" s="4">
        <v>1499910100</v>
      </c>
      <c r="B33" t="s">
        <v>9</v>
      </c>
      <c r="C3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33" s="5">
        <v>104.21086956521738</v>
      </c>
      <c r="E33" s="5">
        <v>122.37034605146407</v>
      </c>
      <c r="F33" s="5">
        <v>228.16210292812778</v>
      </c>
      <c r="G33" s="5">
        <v>8.8067701863354042</v>
      </c>
      <c r="H33" s="5"/>
      <c r="I33" s="5"/>
      <c r="J33" s="5"/>
      <c r="K33" s="5"/>
      <c r="L33" s="5"/>
      <c r="M33" s="5"/>
      <c r="N33" s="5"/>
      <c r="O33" s="5"/>
      <c r="P33" s="5">
        <f>SUM(tb_BaseDados[[#This Row],[Janeiro]:[Março]])</f>
        <v>454.7433185448092</v>
      </c>
      <c r="Q33" s="5">
        <f>SUM(tb_BaseDados[[#This Row],[Abril]:[Junho]])</f>
        <v>8.8067701863354042</v>
      </c>
      <c r="R33" s="5">
        <f>SUM(tb_BaseDados[[#This Row],[Julho]:[Setembro]])</f>
        <v>0</v>
      </c>
      <c r="S33" s="5">
        <f>SUM(tb_BaseDados[[#This Row],[Outubro]:[Dezembro]])</f>
        <v>0</v>
      </c>
    </row>
  </sheetData>
  <conditionalFormatting sqref="C2:C33">
    <cfRule type="containsText" dxfId="6" priority="2" operator="containsText" text="FAVOR CLASSIFICAR">
      <formula>NOT(ISERROR(SEARCH("FAVOR CLASSIFICAR",C2)))</formula>
    </cfRule>
    <cfRule type="containsText" dxfId="5" priority="3" operator="containsText" text="CONTA NÃO ENCONTRADA">
      <formula>NOT(ISERROR(SEARCH("CONTA NÃO ENCONTRADA",C2)))</formula>
    </cfRule>
    <cfRule type="containsText" dxfId="4" priority="4" operator="containsText" text="FAVOR CLASSIFICAR">
      <formula>NOT(ISERROR(SEARCH("FAVOR CLASSIFICAR",C2)))</formula>
    </cfRule>
    <cfRule type="containsText" dxfId="3" priority="5" operator="containsText" text="FAVOR CLASSIFICAR">
      <formula>NOT(ISERROR(SEARCH("FAVOR CLASSIFICAR",C2)))</formula>
    </cfRule>
    <cfRule type="containsText" dxfId="2" priority="6" operator="containsText" text="FAVOR CLASSIFICAR">
      <formula>NOT(ISERROR(SEARCH("FAVOR CLASSIFICAR",C2)))</formula>
    </cfRule>
    <cfRule type="containsText" dxfId="1" priority="7" operator="containsText" text="FAVOR CLASSIFICAR">
      <formula>NOT(ISERROR(SEARCH("FAVOR CLASSIFICAR",C2)))</formula>
    </cfRule>
    <cfRule type="containsText" dxfId="0" priority="1" operator="containsText" text="FAVOR CLASSIFICAR">
      <formula>NOT(ISERROR(SEARCH("FAVOR CLASSIFICAR",C2)))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BaseDadosAnt">
    <tabColor theme="3" tint="0.59999389629810485"/>
  </sheetPr>
  <dimension ref="A1:S33"/>
  <sheetViews>
    <sheetView showGridLines="0" workbookViewId="0"/>
  </sheetViews>
  <sheetFormatPr defaultRowHeight="15" x14ac:dyDescent="0.25"/>
  <cols>
    <col min="1" max="1" width="17.5703125" customWidth="1"/>
    <col min="2" max="2" width="53" bestFit="1" customWidth="1"/>
    <col min="3" max="3" width="51.5703125" bestFit="1" customWidth="1"/>
    <col min="4" max="19" width="15.7109375" customWidth="1"/>
  </cols>
  <sheetData>
    <row r="1" spans="1:19" ht="45" customHeight="1" x14ac:dyDescent="0.25">
      <c r="A1" s="3" t="s">
        <v>33</v>
      </c>
      <c r="B1" s="3" t="s">
        <v>32</v>
      </c>
      <c r="C1" s="3" t="s">
        <v>34</v>
      </c>
      <c r="D1" s="3" t="s">
        <v>37</v>
      </c>
      <c r="E1" s="3" t="s">
        <v>38</v>
      </c>
      <c r="F1" s="3" t="s">
        <v>39</v>
      </c>
      <c r="G1" s="3" t="s">
        <v>40</v>
      </c>
      <c r="H1" s="3" t="s">
        <v>41</v>
      </c>
      <c r="I1" s="3" t="s">
        <v>42</v>
      </c>
      <c r="J1" s="3" t="s">
        <v>43</v>
      </c>
      <c r="K1" s="3" t="s">
        <v>44</v>
      </c>
      <c r="L1" s="3" t="s">
        <v>45</v>
      </c>
      <c r="M1" s="3" t="s">
        <v>46</v>
      </c>
      <c r="N1" s="3" t="s">
        <v>47</v>
      </c>
      <c r="O1" s="3" t="s">
        <v>48</v>
      </c>
      <c r="P1" s="3" t="s">
        <v>80</v>
      </c>
      <c r="Q1" s="3" t="s">
        <v>81</v>
      </c>
      <c r="R1" s="3" t="s">
        <v>82</v>
      </c>
      <c r="S1" s="3" t="s">
        <v>83</v>
      </c>
    </row>
    <row r="2" spans="1:19" x14ac:dyDescent="0.25">
      <c r="A2" s="4">
        <v>1311210100</v>
      </c>
      <c r="B2" t="s">
        <v>10</v>
      </c>
      <c r="C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2" s="5">
        <v>73757.569174800345</v>
      </c>
      <c r="E2" s="5">
        <v>73760.978926353157</v>
      </c>
      <c r="F2" s="5">
        <v>73359.72410825199</v>
      </c>
      <c r="G2" s="5">
        <v>22.070425909494233</v>
      </c>
      <c r="H2" s="5"/>
      <c r="I2" s="5"/>
      <c r="J2" s="5"/>
      <c r="K2" s="5"/>
      <c r="L2" s="5"/>
      <c r="M2" s="5"/>
      <c r="N2" s="5"/>
      <c r="O2" s="5"/>
      <c r="P2" s="5">
        <f>SUM(tb_BaseDados_Anterior[[#This Row],[Janeiro]:[Março]])</f>
        <v>220878.27220940549</v>
      </c>
      <c r="Q2" s="5">
        <f>SUM(tb_BaseDados_Anterior[[#This Row],[Abril]:[Junho]])</f>
        <v>22.070425909494233</v>
      </c>
      <c r="R2" s="5">
        <f>SUM(tb_BaseDados_Anterior[[#This Row],[Julho]:[Setembro]])</f>
        <v>0</v>
      </c>
      <c r="S2" s="5">
        <f>SUM(tb_BaseDados_Anterior[[#This Row],[Outubro]:[Dezembro]])</f>
        <v>0</v>
      </c>
    </row>
    <row r="3" spans="1:19" x14ac:dyDescent="0.25">
      <c r="A3" s="4">
        <v>1311210300</v>
      </c>
      <c r="B3" t="s">
        <v>11</v>
      </c>
      <c r="C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3" s="5">
        <v>3104.2464418811005</v>
      </c>
      <c r="E3" s="5">
        <v>2857.4273203194321</v>
      </c>
      <c r="F3" s="5">
        <v>2983.8142857142857</v>
      </c>
      <c r="G3" s="5">
        <v>0</v>
      </c>
      <c r="H3" s="5"/>
      <c r="I3" s="5"/>
      <c r="J3" s="5"/>
      <c r="K3" s="5"/>
      <c r="L3" s="5"/>
      <c r="M3" s="5"/>
      <c r="N3" s="5"/>
      <c r="O3" s="5"/>
      <c r="P3" s="5">
        <f>SUM(tb_BaseDados_Anterior[[#This Row],[Janeiro]:[Março]])</f>
        <v>8945.4880479148196</v>
      </c>
      <c r="Q3" s="5">
        <f>SUM(tb_BaseDados_Anterior[[#This Row],[Abril]:[Junho]])</f>
        <v>0</v>
      </c>
      <c r="R3" s="5">
        <f>SUM(tb_BaseDados_Anterior[[#This Row],[Julho]:[Setembro]])</f>
        <v>0</v>
      </c>
      <c r="S3" s="5">
        <f>SUM(tb_BaseDados_Anterior[[#This Row],[Outubro]:[Dezembro]])</f>
        <v>0</v>
      </c>
    </row>
    <row r="4" spans="1:19" x14ac:dyDescent="0.25">
      <c r="A4" s="4">
        <v>1311210400</v>
      </c>
      <c r="B4" t="s">
        <v>12</v>
      </c>
      <c r="C4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4" s="5">
        <v>32506.899707187222</v>
      </c>
      <c r="E4" s="5">
        <v>32533.767808340726</v>
      </c>
      <c r="F4" s="5">
        <v>32403.082236024846</v>
      </c>
      <c r="G4" s="5">
        <v>0</v>
      </c>
      <c r="H4" s="5"/>
      <c r="I4" s="5"/>
      <c r="J4" s="5"/>
      <c r="K4" s="5"/>
      <c r="L4" s="5"/>
      <c r="M4" s="5"/>
      <c r="N4" s="5"/>
      <c r="O4" s="5"/>
      <c r="P4" s="5">
        <f>SUM(tb_BaseDados_Anterior[[#This Row],[Janeiro]:[Março]])</f>
        <v>97443.749751552794</v>
      </c>
      <c r="Q4" s="5">
        <f>SUM(tb_BaseDados_Anterior[[#This Row],[Abril]:[Junho]])</f>
        <v>0</v>
      </c>
      <c r="R4" s="5">
        <f>SUM(tb_BaseDados_Anterior[[#This Row],[Julho]:[Setembro]])</f>
        <v>0</v>
      </c>
      <c r="S4" s="5">
        <f>SUM(tb_BaseDados_Anterior[[#This Row],[Outubro]:[Dezembro]])</f>
        <v>0</v>
      </c>
    </row>
    <row r="5" spans="1:19" x14ac:dyDescent="0.25">
      <c r="A5" s="4">
        <v>1311210500</v>
      </c>
      <c r="B5" t="s">
        <v>13</v>
      </c>
      <c r="C5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5" s="5">
        <v>12581.51314108252</v>
      </c>
      <c r="E5" s="5">
        <v>12518.543629103815</v>
      </c>
      <c r="F5" s="5">
        <v>12523.951295474712</v>
      </c>
      <c r="G5" s="5">
        <v>0</v>
      </c>
      <c r="H5" s="5"/>
      <c r="I5" s="5"/>
      <c r="J5" s="5"/>
      <c r="K5" s="5"/>
      <c r="L5" s="5"/>
      <c r="M5" s="5"/>
      <c r="N5" s="5"/>
      <c r="O5" s="5"/>
      <c r="P5" s="5">
        <f>SUM(tb_BaseDados_Anterior[[#This Row],[Janeiro]:[Março]])</f>
        <v>37624.008065661044</v>
      </c>
      <c r="Q5" s="5">
        <f>SUM(tb_BaseDados_Anterior[[#This Row],[Abril]:[Junho]])</f>
        <v>0</v>
      </c>
      <c r="R5" s="5">
        <f>SUM(tb_BaseDados_Anterior[[#This Row],[Julho]:[Setembro]])</f>
        <v>0</v>
      </c>
      <c r="S5" s="5">
        <f>SUM(tb_BaseDados_Anterior[[#This Row],[Outubro]:[Dezembro]])</f>
        <v>0</v>
      </c>
    </row>
    <row r="6" spans="1:19" x14ac:dyDescent="0.25">
      <c r="A6" s="4">
        <v>1311210600</v>
      </c>
      <c r="B6" t="s">
        <v>14</v>
      </c>
      <c r="C6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6" s="5">
        <v>9432.7458740017737</v>
      </c>
      <c r="E6" s="5">
        <v>9388.9077196095823</v>
      </c>
      <c r="F6" s="5">
        <v>9396.5923425022193</v>
      </c>
      <c r="G6" s="5">
        <v>0</v>
      </c>
      <c r="H6" s="5"/>
      <c r="I6" s="5"/>
      <c r="J6" s="5"/>
      <c r="K6" s="5"/>
      <c r="L6" s="5"/>
      <c r="M6" s="5"/>
      <c r="N6" s="5"/>
      <c r="O6" s="5"/>
      <c r="P6" s="5">
        <f>SUM(tb_BaseDados_Anterior[[#This Row],[Janeiro]:[Março]])</f>
        <v>28218.245936113577</v>
      </c>
      <c r="Q6" s="5">
        <f>SUM(tb_BaseDados_Anterior[[#This Row],[Abril]:[Junho]])</f>
        <v>0</v>
      </c>
      <c r="R6" s="5">
        <f>SUM(tb_BaseDados_Anterior[[#This Row],[Julho]:[Setembro]])</f>
        <v>0</v>
      </c>
      <c r="S6" s="5">
        <f>SUM(tb_BaseDados_Anterior[[#This Row],[Outubro]:[Dezembro]])</f>
        <v>0</v>
      </c>
    </row>
    <row r="7" spans="1:19" x14ac:dyDescent="0.25">
      <c r="A7" s="4">
        <v>1311210700</v>
      </c>
      <c r="B7" t="s">
        <v>15</v>
      </c>
      <c r="C7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Financeiras 2.7</v>
      </c>
      <c r="D7" s="5">
        <v>1079.3802129547471</v>
      </c>
      <c r="E7" s="5">
        <v>950.31896184560776</v>
      </c>
      <c r="F7" s="5">
        <v>1622.7753504880213</v>
      </c>
      <c r="G7" s="5">
        <v>0</v>
      </c>
      <c r="H7" s="5"/>
      <c r="I7" s="5"/>
      <c r="J7" s="5"/>
      <c r="K7" s="5"/>
      <c r="L7" s="5"/>
      <c r="M7" s="5"/>
      <c r="N7" s="5"/>
      <c r="O7" s="5"/>
      <c r="P7" s="5">
        <f>SUM(tb_BaseDados_Anterior[[#This Row],[Janeiro]:[Março]])</f>
        <v>3652.4745252883758</v>
      </c>
      <c r="Q7" s="5">
        <f>SUM(tb_BaseDados_Anterior[[#This Row],[Abril]:[Junho]])</f>
        <v>0</v>
      </c>
      <c r="R7" s="5">
        <f>SUM(tb_BaseDados_Anterior[[#This Row],[Julho]:[Setembro]])</f>
        <v>0</v>
      </c>
      <c r="S7" s="5">
        <f>SUM(tb_BaseDados_Anterior[[#This Row],[Outubro]:[Dezembro]])</f>
        <v>0</v>
      </c>
    </row>
    <row r="8" spans="1:19" x14ac:dyDescent="0.25">
      <c r="A8" s="4">
        <v>1312510100</v>
      </c>
      <c r="B8" t="s">
        <v>31</v>
      </c>
      <c r="C8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8" s="5">
        <v>7939.8236202307016</v>
      </c>
      <c r="E8" s="5">
        <v>7986.2291925465843</v>
      </c>
      <c r="F8" s="5">
        <v>7915.9892014196985</v>
      </c>
      <c r="G8" s="5">
        <v>0.41409050576752443</v>
      </c>
      <c r="H8" s="5"/>
      <c r="I8" s="5"/>
      <c r="J8" s="5"/>
      <c r="K8" s="5"/>
      <c r="L8" s="5"/>
      <c r="M8" s="5"/>
      <c r="N8" s="5"/>
      <c r="O8" s="5"/>
      <c r="P8" s="5">
        <f>SUM(tb_BaseDados_Anterior[[#This Row],[Janeiro]:[Março]])</f>
        <v>23842.042014196984</v>
      </c>
      <c r="Q8" s="5">
        <f>SUM(tb_BaseDados_Anterior[[#This Row],[Abril]:[Junho]])</f>
        <v>0.41409050576752443</v>
      </c>
      <c r="R8" s="5">
        <f>SUM(tb_BaseDados_Anterior[[#This Row],[Julho]:[Setembro]])</f>
        <v>0</v>
      </c>
      <c r="S8" s="5">
        <f>SUM(tb_BaseDados_Anterior[[#This Row],[Outubro]:[Dezembro]])</f>
        <v>0</v>
      </c>
    </row>
    <row r="9" spans="1:19" x14ac:dyDescent="0.25">
      <c r="A9" s="4">
        <v>1313210600</v>
      </c>
      <c r="B9" t="s">
        <v>16</v>
      </c>
      <c r="C9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9" s="5">
        <v>801.05137533274183</v>
      </c>
      <c r="E9" s="5">
        <v>755.47528837622008</v>
      </c>
      <c r="F9" s="5">
        <v>746.50496894409935</v>
      </c>
      <c r="G9" s="5">
        <v>0</v>
      </c>
      <c r="H9" s="5"/>
      <c r="I9" s="5"/>
      <c r="J9" s="5"/>
      <c r="K9" s="5"/>
      <c r="L9" s="5"/>
      <c r="M9" s="5"/>
      <c r="N9" s="5"/>
      <c r="O9" s="5"/>
      <c r="P9" s="5">
        <f>SUM(tb_BaseDados_Anterior[[#This Row],[Janeiro]:[Março]])</f>
        <v>2303.031632653061</v>
      </c>
      <c r="Q9" s="5">
        <f>SUM(tb_BaseDados_Anterior[[#This Row],[Abril]:[Junho]])</f>
        <v>0</v>
      </c>
      <c r="R9" s="5">
        <f>SUM(tb_BaseDados_Anterior[[#This Row],[Julho]:[Setembro]])</f>
        <v>0</v>
      </c>
      <c r="S9" s="5">
        <f>SUM(tb_BaseDados_Anterior[[#This Row],[Outubro]:[Dezembro]])</f>
        <v>0</v>
      </c>
    </row>
    <row r="10" spans="1:19" x14ac:dyDescent="0.25">
      <c r="A10" s="4">
        <v>1331110300</v>
      </c>
      <c r="B10" t="s">
        <v>17</v>
      </c>
      <c r="C1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10" s="5">
        <v>198.37871339840285</v>
      </c>
      <c r="E10" s="5">
        <v>273.65033717834962</v>
      </c>
      <c r="F10" s="5">
        <v>334.93768411712512</v>
      </c>
      <c r="G10" s="5">
        <v>75.341614906832305</v>
      </c>
      <c r="H10" s="5"/>
      <c r="I10" s="5"/>
      <c r="J10" s="5"/>
      <c r="K10" s="5"/>
      <c r="L10" s="5"/>
      <c r="M10" s="5"/>
      <c r="N10" s="5"/>
      <c r="O10" s="5"/>
      <c r="P10" s="5">
        <f>SUM(tb_BaseDados_Anterior[[#This Row],[Janeiro]:[Março]])</f>
        <v>806.96673469387758</v>
      </c>
      <c r="Q10" s="5">
        <f>SUM(tb_BaseDados_Anterior[[#This Row],[Abril]:[Junho]])</f>
        <v>75.341614906832305</v>
      </c>
      <c r="R10" s="5">
        <f>SUM(tb_BaseDados_Anterior[[#This Row],[Julho]:[Setembro]])</f>
        <v>0</v>
      </c>
      <c r="S10" s="5">
        <f>SUM(tb_BaseDados_Anterior[[#This Row],[Outubro]:[Dezembro]])</f>
        <v>0</v>
      </c>
    </row>
    <row r="11" spans="1:19" x14ac:dyDescent="0.25">
      <c r="A11" s="4">
        <v>1331110500</v>
      </c>
      <c r="B11" t="s">
        <v>18</v>
      </c>
      <c r="C11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11" s="5">
        <v>40.333682342502215</v>
      </c>
      <c r="E11" s="5">
        <v>55.356273291925461</v>
      </c>
      <c r="F11" s="5">
        <v>90.161118012422364</v>
      </c>
      <c r="G11" s="5">
        <v>0.33123336291038158</v>
      </c>
      <c r="H11" s="5"/>
      <c r="I11" s="5"/>
      <c r="J11" s="5"/>
      <c r="K11" s="5"/>
      <c r="L11" s="5"/>
      <c r="M11" s="5"/>
      <c r="N11" s="5"/>
      <c r="O11" s="5"/>
      <c r="P11" s="5">
        <f>SUM(tb_BaseDados_Anterior[[#This Row],[Janeiro]:[Março]])</f>
        <v>185.85107364685004</v>
      </c>
      <c r="Q11" s="5">
        <f>SUM(tb_BaseDados_Anterior[[#This Row],[Abril]:[Junho]])</f>
        <v>0.33123336291038158</v>
      </c>
      <c r="R11" s="5">
        <f>SUM(tb_BaseDados_Anterior[[#This Row],[Julho]:[Setembro]])</f>
        <v>0</v>
      </c>
      <c r="S11" s="5">
        <f>SUM(tb_BaseDados_Anterior[[#This Row],[Outubro]:[Dezembro]])</f>
        <v>0</v>
      </c>
    </row>
    <row r="12" spans="1:19" x14ac:dyDescent="0.25">
      <c r="A12" s="4">
        <v>1332310800</v>
      </c>
      <c r="B12" t="s">
        <v>19</v>
      </c>
      <c r="C1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12" s="5">
        <v>1885.6690417036377</v>
      </c>
      <c r="E12" s="5">
        <v>1975.3651996450756</v>
      </c>
      <c r="F12" s="5">
        <v>1924.4630434782609</v>
      </c>
      <c r="G12" s="5">
        <v>473.70985803016862</v>
      </c>
      <c r="H12" s="5"/>
      <c r="I12" s="5"/>
      <c r="J12" s="5"/>
      <c r="K12" s="5"/>
      <c r="L12" s="5"/>
      <c r="M12" s="5"/>
      <c r="N12" s="5"/>
      <c r="O12" s="5"/>
      <c r="P12" s="5">
        <f>SUM(tb_BaseDados_Anterior[[#This Row],[Janeiro]:[Março]])</f>
        <v>5785.4972848269745</v>
      </c>
      <c r="Q12" s="5">
        <f>SUM(tb_BaseDados_Anterior[[#This Row],[Abril]:[Junho]])</f>
        <v>473.70985803016862</v>
      </c>
      <c r="R12" s="5">
        <f>SUM(tb_BaseDados_Anterior[[#This Row],[Julho]:[Setembro]])</f>
        <v>0</v>
      </c>
      <c r="S12" s="5">
        <f>SUM(tb_BaseDados_Anterior[[#This Row],[Outubro]:[Dezembro]])</f>
        <v>0</v>
      </c>
    </row>
    <row r="13" spans="1:19" x14ac:dyDescent="0.25">
      <c r="A13" s="4">
        <v>1332320900</v>
      </c>
      <c r="B13" t="s">
        <v>20</v>
      </c>
      <c r="C1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13" s="5">
        <v>56.138553682342504</v>
      </c>
      <c r="E13" s="5">
        <v>-30.731224489795917</v>
      </c>
      <c r="F13" s="5">
        <v>26.169884649511978</v>
      </c>
      <c r="G13" s="5">
        <v>0</v>
      </c>
      <c r="H13" s="5"/>
      <c r="I13" s="5"/>
      <c r="J13" s="5"/>
      <c r="K13" s="5"/>
      <c r="L13" s="5"/>
      <c r="M13" s="5"/>
      <c r="N13" s="5"/>
      <c r="O13" s="5"/>
      <c r="P13" s="5">
        <f>SUM(tb_BaseDados_Anterior[[#This Row],[Janeiro]:[Março]])</f>
        <v>51.577213842058569</v>
      </c>
      <c r="Q13" s="5">
        <f>SUM(tb_BaseDados_Anterior[[#This Row],[Abril]:[Junho]])</f>
        <v>0</v>
      </c>
      <c r="R13" s="5">
        <f>SUM(tb_BaseDados_Anterior[[#This Row],[Julho]:[Setembro]])</f>
        <v>0</v>
      </c>
      <c r="S13" s="5">
        <f>SUM(tb_BaseDados_Anterior[[#This Row],[Outubro]:[Dezembro]])</f>
        <v>0</v>
      </c>
    </row>
    <row r="14" spans="1:19" x14ac:dyDescent="0.25">
      <c r="A14" s="4">
        <v>1332340300</v>
      </c>
      <c r="B14" t="s">
        <v>21</v>
      </c>
      <c r="C14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14" s="5">
        <v>0.742661934338953</v>
      </c>
      <c r="E14" s="5">
        <v>0.54677018633540375</v>
      </c>
      <c r="F14" s="5">
        <v>5.7309760425909495</v>
      </c>
      <c r="G14" s="5">
        <v>0</v>
      </c>
      <c r="H14" s="5"/>
      <c r="I14" s="5"/>
      <c r="J14" s="5"/>
      <c r="K14" s="5"/>
      <c r="L14" s="5"/>
      <c r="M14" s="5"/>
      <c r="N14" s="5"/>
      <c r="O14" s="5"/>
      <c r="P14" s="5">
        <f>SUM(tb_BaseDados_Anterior[[#This Row],[Janeiro]:[Março]])</f>
        <v>7.0204081632653068</v>
      </c>
      <c r="Q14" s="5">
        <f>SUM(tb_BaseDados_Anterior[[#This Row],[Abril]:[Junho]])</f>
        <v>0</v>
      </c>
      <c r="R14" s="5">
        <f>SUM(tb_BaseDados_Anterior[[#This Row],[Julho]:[Setembro]])</f>
        <v>0</v>
      </c>
      <c r="S14" s="5">
        <f>SUM(tb_BaseDados_Anterior[[#This Row],[Outubro]:[Dezembro]])</f>
        <v>0</v>
      </c>
    </row>
    <row r="15" spans="1:19" x14ac:dyDescent="0.25">
      <c r="A15" s="4">
        <v>1342310100</v>
      </c>
      <c r="B15" t="s">
        <v>29</v>
      </c>
      <c r="C15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15" s="5">
        <v>5.6051464063886426E-2</v>
      </c>
      <c r="E15" s="5">
        <v>2.3735581188997337E-2</v>
      </c>
      <c r="F15" s="5">
        <v>0.44213842058562558</v>
      </c>
      <c r="G15" s="5">
        <v>8.1366459627329191E-3</v>
      </c>
      <c r="H15" s="5"/>
      <c r="I15" s="5"/>
      <c r="J15" s="5"/>
      <c r="K15" s="5"/>
      <c r="L15" s="5"/>
      <c r="M15" s="5"/>
      <c r="N15" s="5"/>
      <c r="O15" s="5"/>
      <c r="P15" s="5">
        <f>SUM(tb_BaseDados_Anterior[[#This Row],[Janeiro]:[Março]])</f>
        <v>0.52192546583850929</v>
      </c>
      <c r="Q15" s="5">
        <f>SUM(tb_BaseDados_Anterior[[#This Row],[Abril]:[Junho]])</f>
        <v>8.1366459627329191E-3</v>
      </c>
      <c r="R15" s="5">
        <f>SUM(tb_BaseDados_Anterior[[#This Row],[Julho]:[Setembro]])</f>
        <v>0</v>
      </c>
      <c r="S15" s="5">
        <f>SUM(tb_BaseDados_Anterior[[#This Row],[Outubro]:[Dezembro]])</f>
        <v>0</v>
      </c>
    </row>
    <row r="16" spans="1:19" x14ac:dyDescent="0.25">
      <c r="A16" s="4">
        <v>1365020100</v>
      </c>
      <c r="B16" t="s">
        <v>30</v>
      </c>
      <c r="C16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16" s="5">
        <v>2411.9201330967171</v>
      </c>
      <c r="E16" s="5">
        <v>9928.8776574977801</v>
      </c>
      <c r="F16" s="5">
        <v>2354.3277196095828</v>
      </c>
      <c r="G16" s="5">
        <v>0</v>
      </c>
      <c r="H16" s="5"/>
      <c r="I16" s="5"/>
      <c r="J16" s="5"/>
      <c r="K16" s="5"/>
      <c r="L16" s="5"/>
      <c r="M16" s="5"/>
      <c r="N16" s="5"/>
      <c r="O16" s="5"/>
      <c r="P16" s="5">
        <f>SUM(tb_BaseDados_Anterior[[#This Row],[Janeiro]:[Março]])</f>
        <v>14695.12551020408</v>
      </c>
      <c r="Q16" s="5">
        <f>SUM(tb_BaseDados_Anterior[[#This Row],[Abril]:[Junho]])</f>
        <v>0</v>
      </c>
      <c r="R16" s="5">
        <f>SUM(tb_BaseDados_Anterior[[#This Row],[Julho]:[Setembro]])</f>
        <v>0</v>
      </c>
      <c r="S16" s="5">
        <f>SUM(tb_BaseDados_Anterior[[#This Row],[Outubro]:[Dezembro]])</f>
        <v>0</v>
      </c>
    </row>
    <row r="17" spans="1:19" x14ac:dyDescent="0.25">
      <c r="A17" s="4">
        <v>1371110800</v>
      </c>
      <c r="B17" t="s">
        <v>23</v>
      </c>
      <c r="C17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17" s="5">
        <v>8.5164241348713396</v>
      </c>
      <c r="E17" s="5">
        <v>1.4242236024844719</v>
      </c>
      <c r="F17" s="5">
        <v>-9.8040195208518188</v>
      </c>
      <c r="G17" s="5">
        <v>0</v>
      </c>
      <c r="H17" s="5"/>
      <c r="I17" s="5"/>
      <c r="J17" s="5"/>
      <c r="K17" s="5"/>
      <c r="L17" s="5"/>
      <c r="M17" s="5"/>
      <c r="N17" s="5"/>
      <c r="O17" s="5"/>
      <c r="P17" s="5">
        <f>SUM(tb_BaseDados_Anterior[[#This Row],[Janeiro]:[Março]])</f>
        <v>0.13662821650399337</v>
      </c>
      <c r="Q17" s="5">
        <f>SUM(tb_BaseDados_Anterior[[#This Row],[Abril]:[Junho]])</f>
        <v>0</v>
      </c>
      <c r="R17" s="5">
        <f>SUM(tb_BaseDados_Anterior[[#This Row],[Julho]:[Setembro]])</f>
        <v>0</v>
      </c>
      <c r="S17" s="5">
        <f>SUM(tb_BaseDados_Anterior[[#This Row],[Outubro]:[Dezembro]])</f>
        <v>0</v>
      </c>
    </row>
    <row r="18" spans="1:19" x14ac:dyDescent="0.25">
      <c r="A18" s="4">
        <v>1371129900</v>
      </c>
      <c r="B18" t="s">
        <v>24</v>
      </c>
      <c r="C18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18" s="5">
        <v>1.379396628216504</v>
      </c>
      <c r="E18" s="5">
        <v>0</v>
      </c>
      <c r="F18" s="5">
        <v>-1.379396628216504</v>
      </c>
      <c r="G18" s="5">
        <v>0</v>
      </c>
      <c r="H18" s="5"/>
      <c r="I18" s="5"/>
      <c r="J18" s="5"/>
      <c r="K18" s="5"/>
      <c r="L18" s="5"/>
      <c r="M18" s="5"/>
      <c r="N18" s="5"/>
      <c r="O18" s="5"/>
      <c r="P18" s="5">
        <f>SUM(tb_BaseDados_Anterior[[#This Row],[Janeiro]:[Março]])</f>
        <v>0</v>
      </c>
      <c r="Q18" s="5">
        <f>SUM(tb_BaseDados_Anterior[[#This Row],[Abril]:[Junho]])</f>
        <v>0</v>
      </c>
      <c r="R18" s="5">
        <f>SUM(tb_BaseDados_Anterior[[#This Row],[Julho]:[Setembro]])</f>
        <v>0</v>
      </c>
      <c r="S18" s="5">
        <f>SUM(tb_BaseDados_Anterior[[#This Row],[Outubro]:[Dezembro]])</f>
        <v>0</v>
      </c>
    </row>
    <row r="19" spans="1:19" x14ac:dyDescent="0.25">
      <c r="A19" s="4">
        <v>1371220100</v>
      </c>
      <c r="B19" t="s">
        <v>25</v>
      </c>
      <c r="C19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19" s="5">
        <v>2.2750842945874004</v>
      </c>
      <c r="E19" s="5">
        <v>9.0002484472049691</v>
      </c>
      <c r="F19" s="5">
        <v>12.166246672582076</v>
      </c>
      <c r="G19" s="5">
        <v>8.6183762200532392</v>
      </c>
      <c r="H19" s="5"/>
      <c r="I19" s="5"/>
      <c r="J19" s="5"/>
      <c r="K19" s="5"/>
      <c r="L19" s="5"/>
      <c r="M19" s="5"/>
      <c r="N19" s="5"/>
      <c r="O19" s="5"/>
      <c r="P19" s="5">
        <f>SUM(tb_BaseDados_Anterior[[#This Row],[Janeiro]:[Março]])</f>
        <v>23.441579414374445</v>
      </c>
      <c r="Q19" s="5">
        <f>SUM(tb_BaseDados_Anterior[[#This Row],[Abril]:[Junho]])</f>
        <v>8.6183762200532392</v>
      </c>
      <c r="R19" s="5">
        <f>SUM(tb_BaseDados_Anterior[[#This Row],[Julho]:[Setembro]])</f>
        <v>0</v>
      </c>
      <c r="S19" s="5">
        <f>SUM(tb_BaseDados_Anterior[[#This Row],[Outubro]:[Dezembro]])</f>
        <v>0</v>
      </c>
    </row>
    <row r="20" spans="1:19" ht="14.25" customHeight="1" x14ac:dyDescent="0.25">
      <c r="A20" s="4">
        <v>1372110600</v>
      </c>
      <c r="B20" t="s">
        <v>27</v>
      </c>
      <c r="C2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20" s="5">
        <v>9.6038243123336287</v>
      </c>
      <c r="E20" s="5">
        <v>0.34485359361135759</v>
      </c>
      <c r="F20" s="5">
        <v>0</v>
      </c>
      <c r="G20" s="5">
        <v>0</v>
      </c>
      <c r="H20" s="5"/>
      <c r="I20" s="5"/>
      <c r="J20" s="5"/>
      <c r="K20" s="5"/>
      <c r="L20" s="5"/>
      <c r="M20" s="5"/>
      <c r="N20" s="5"/>
      <c r="O20" s="5"/>
      <c r="P20" s="5">
        <f>SUM(tb_BaseDados_Anterior[[#This Row],[Janeiro]:[Março]])</f>
        <v>9.9486779059449866</v>
      </c>
      <c r="Q20" s="5">
        <f>SUM(tb_BaseDados_Anterior[[#This Row],[Abril]:[Junho]])</f>
        <v>0</v>
      </c>
      <c r="R20" s="5">
        <f>SUM(tb_BaseDados_Anterior[[#This Row],[Julho]:[Setembro]])</f>
        <v>0</v>
      </c>
      <c r="S20" s="5">
        <f>SUM(tb_BaseDados_Anterior[[#This Row],[Outubro]:[Dezembro]])</f>
        <v>0</v>
      </c>
    </row>
    <row r="21" spans="1:19" x14ac:dyDescent="0.25">
      <c r="A21" s="4">
        <v>1372120500</v>
      </c>
      <c r="B21" t="s">
        <v>26</v>
      </c>
      <c r="C21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21" s="5">
        <v>0.41219165927240464</v>
      </c>
      <c r="E21" s="5">
        <v>0.41219165927240464</v>
      </c>
      <c r="F21" s="5">
        <v>0.41219165927240464</v>
      </c>
      <c r="G21" s="5">
        <v>0.41219165927240464</v>
      </c>
      <c r="H21" s="5"/>
      <c r="I21" s="5"/>
      <c r="J21" s="5"/>
      <c r="K21" s="5"/>
      <c r="L21" s="5"/>
      <c r="M21" s="5"/>
      <c r="N21" s="5"/>
      <c r="O21" s="5"/>
      <c r="P21" s="5">
        <f>SUM(tb_BaseDados_Anterior[[#This Row],[Janeiro]:[Março]])</f>
        <v>1.2365749778172139</v>
      </c>
      <c r="Q21" s="5">
        <f>SUM(tb_BaseDados_Anterior[[#This Row],[Abril]:[Junho]])</f>
        <v>0.41219165927240464</v>
      </c>
      <c r="R21" s="5">
        <f>SUM(tb_BaseDados_Anterior[[#This Row],[Julho]:[Setembro]])</f>
        <v>0</v>
      </c>
      <c r="S21" s="5">
        <f>SUM(tb_BaseDados_Anterior[[#This Row],[Outubro]:[Dezembro]])</f>
        <v>0</v>
      </c>
    </row>
    <row r="22" spans="1:19" x14ac:dyDescent="0.25">
      <c r="A22" s="4">
        <v>1372350100</v>
      </c>
      <c r="B22" t="s">
        <v>28</v>
      </c>
      <c r="C2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22" s="5">
        <v>1.2373291925465839</v>
      </c>
      <c r="E22" s="5">
        <v>0.78895297249334517</v>
      </c>
      <c r="F22" s="5">
        <v>1.0948092280390416</v>
      </c>
      <c r="G22" s="5">
        <v>7.6858917480035496E-2</v>
      </c>
      <c r="H22" s="5"/>
      <c r="I22" s="5"/>
      <c r="J22" s="5"/>
      <c r="K22" s="5"/>
      <c r="L22" s="5"/>
      <c r="M22" s="5"/>
      <c r="N22" s="5"/>
      <c r="O22" s="5"/>
      <c r="P22" s="5">
        <f>SUM(tb_BaseDados_Anterior[[#This Row],[Janeiro]:[Março]])</f>
        <v>3.1210913930789705</v>
      </c>
      <c r="Q22" s="5">
        <f>SUM(tb_BaseDados_Anterior[[#This Row],[Abril]:[Junho]])</f>
        <v>7.6858917480035496E-2</v>
      </c>
      <c r="R22" s="5">
        <f>SUM(tb_BaseDados_Anterior[[#This Row],[Julho]:[Setembro]])</f>
        <v>0</v>
      </c>
      <c r="S22" s="5">
        <f>SUM(tb_BaseDados_Anterior[[#This Row],[Outubro]:[Dezembro]])</f>
        <v>0</v>
      </c>
    </row>
    <row r="23" spans="1:19" x14ac:dyDescent="0.25">
      <c r="A23" s="4">
        <v>1394110100</v>
      </c>
      <c r="B23" t="s">
        <v>22</v>
      </c>
      <c r="C2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23" s="5">
        <v>231.37012422360249</v>
      </c>
      <c r="E23" s="5">
        <v>177.49843833185446</v>
      </c>
      <c r="F23" s="5">
        <v>30.650425909494231</v>
      </c>
      <c r="G23" s="5">
        <v>86.388322981366457</v>
      </c>
      <c r="H23" s="5"/>
      <c r="I23" s="5"/>
      <c r="J23" s="5"/>
      <c r="K23" s="5"/>
      <c r="L23" s="5"/>
      <c r="M23" s="5"/>
      <c r="N23" s="5"/>
      <c r="O23" s="5"/>
      <c r="P23" s="5">
        <f>SUM(tb_BaseDados_Anterior[[#This Row],[Janeiro]:[Março]])</f>
        <v>439.51898846495118</v>
      </c>
      <c r="Q23" s="5">
        <f>SUM(tb_BaseDados_Anterior[[#This Row],[Abril]:[Junho]])</f>
        <v>86.388322981366457</v>
      </c>
      <c r="R23" s="5">
        <f>SUM(tb_BaseDados_Anterior[[#This Row],[Julho]:[Setembro]])</f>
        <v>0</v>
      </c>
      <c r="S23" s="5">
        <f>SUM(tb_BaseDados_Anterior[[#This Row],[Outubro]:[Dezembro]])</f>
        <v>0</v>
      </c>
    </row>
    <row r="24" spans="1:19" x14ac:dyDescent="0.25">
      <c r="A24" s="4">
        <v>1431111200</v>
      </c>
      <c r="B24" t="s">
        <v>0</v>
      </c>
      <c r="C24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24" s="5">
        <v>140.17913930789709</v>
      </c>
      <c r="E24" s="5">
        <v>195.34102928127771</v>
      </c>
      <c r="F24" s="5">
        <v>65.744596273291933</v>
      </c>
      <c r="G24" s="5">
        <v>1.0652528837622004</v>
      </c>
      <c r="H24" s="5"/>
      <c r="I24" s="5"/>
      <c r="J24" s="5"/>
      <c r="K24" s="5"/>
      <c r="L24" s="5"/>
      <c r="M24" s="5"/>
      <c r="N24" s="5"/>
      <c r="O24" s="5"/>
      <c r="P24" s="5">
        <f>SUM(tb_BaseDados_Anterior[[#This Row],[Janeiro]:[Março]])</f>
        <v>401.26476486246668</v>
      </c>
      <c r="Q24" s="5">
        <f>SUM(tb_BaseDados_Anterior[[#This Row],[Abril]:[Junho]])</f>
        <v>1.0652528837622004</v>
      </c>
      <c r="R24" s="5">
        <f>SUM(tb_BaseDados_Anterior[[#This Row],[Julho]:[Setembro]])</f>
        <v>0</v>
      </c>
      <c r="S24" s="5">
        <f>SUM(tb_BaseDados_Anterior[[#This Row],[Outubro]:[Dezembro]])</f>
        <v>0</v>
      </c>
    </row>
    <row r="25" spans="1:19" x14ac:dyDescent="0.25">
      <c r="A25" s="4">
        <v>1433110100</v>
      </c>
      <c r="B25" t="s">
        <v>1</v>
      </c>
      <c r="C25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25" s="5">
        <v>252.21303460514642</v>
      </c>
      <c r="E25" s="5">
        <v>899.42702750665489</v>
      </c>
      <c r="F25" s="5">
        <v>2683.0673203194324</v>
      </c>
      <c r="G25" s="5">
        <v>59.026654835847374</v>
      </c>
      <c r="H25" s="5"/>
      <c r="I25" s="5"/>
      <c r="J25" s="5"/>
      <c r="K25" s="5"/>
      <c r="L25" s="5"/>
      <c r="M25" s="5"/>
      <c r="N25" s="5"/>
      <c r="O25" s="5"/>
      <c r="P25" s="5">
        <f>SUM(tb_BaseDados_Anterior[[#This Row],[Janeiro]:[Março]])</f>
        <v>3834.7073824312338</v>
      </c>
      <c r="Q25" s="5">
        <f>SUM(tb_BaseDados_Anterior[[#This Row],[Abril]:[Junho]])</f>
        <v>59.026654835847374</v>
      </c>
      <c r="R25" s="5">
        <f>SUM(tb_BaseDados_Anterior[[#This Row],[Julho]:[Setembro]])</f>
        <v>0</v>
      </c>
      <c r="S25" s="5">
        <f>SUM(tb_BaseDados_Anterior[[#This Row],[Outubro]:[Dezembro]])</f>
        <v>0</v>
      </c>
    </row>
    <row r="26" spans="1:19" x14ac:dyDescent="0.25">
      <c r="A26" s="4">
        <v>1433910900</v>
      </c>
      <c r="B26" t="s">
        <v>2</v>
      </c>
      <c r="C26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Outras Receitas Operacionais 2.5(b)</v>
      </c>
      <c r="D26" s="5">
        <v>-126.16891748003549</v>
      </c>
      <c r="E26" s="5">
        <v>-121.68896184560781</v>
      </c>
      <c r="F26" s="5">
        <v>-169.22364685004436</v>
      </c>
      <c r="G26" s="5">
        <v>0</v>
      </c>
      <c r="H26" s="5"/>
      <c r="I26" s="5"/>
      <c r="J26" s="5"/>
      <c r="K26" s="5"/>
      <c r="L26" s="5"/>
      <c r="M26" s="5"/>
      <c r="N26" s="5"/>
      <c r="O26" s="5"/>
      <c r="P26" s="5">
        <f>SUM(tb_BaseDados_Anterior[[#This Row],[Janeiro]:[Março]])</f>
        <v>-417.08152617568766</v>
      </c>
      <c r="Q26" s="5">
        <f>SUM(tb_BaseDados_Anterior[[#This Row],[Abril]:[Junho]])</f>
        <v>0</v>
      </c>
      <c r="R26" s="5">
        <f>SUM(tb_BaseDados_Anterior[[#This Row],[Julho]:[Setembro]])</f>
        <v>0</v>
      </c>
      <c r="S26" s="5">
        <f>SUM(tb_BaseDados_Anterior[[#This Row],[Outubro]:[Dezembro]])</f>
        <v>0</v>
      </c>
    </row>
    <row r="27" spans="1:19" x14ac:dyDescent="0.25">
      <c r="A27" s="4">
        <v>1451120200</v>
      </c>
      <c r="B27" t="s">
        <v>3</v>
      </c>
      <c r="C27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 xml:space="preserve">Convênios 2.5(c) </v>
      </c>
      <c r="D27" s="5">
        <v>171074.77984915703</v>
      </c>
      <c r="E27" s="5">
        <v>171756.35263531498</v>
      </c>
      <c r="F27" s="5">
        <v>182955.55076308784</v>
      </c>
      <c r="G27" s="5">
        <v>51480.808535936114</v>
      </c>
      <c r="H27" s="5"/>
      <c r="I27" s="5"/>
      <c r="J27" s="5"/>
      <c r="K27" s="5"/>
      <c r="L27" s="5"/>
      <c r="M27" s="5"/>
      <c r="N27" s="5"/>
      <c r="O27" s="5"/>
      <c r="P27" s="5">
        <f>SUM(tb_BaseDados_Anterior[[#This Row],[Janeiro]:[Março]])</f>
        <v>525786.68324755982</v>
      </c>
      <c r="Q27" s="5">
        <f>SUM(tb_BaseDados_Anterior[[#This Row],[Abril]:[Junho]])</f>
        <v>51480.808535936114</v>
      </c>
      <c r="R27" s="5">
        <f>SUM(tb_BaseDados_Anterior[[#This Row],[Julho]:[Setembro]])</f>
        <v>0</v>
      </c>
      <c r="S27" s="5">
        <f>SUM(tb_BaseDados_Anterior[[#This Row],[Outubro]:[Dezembro]])</f>
        <v>0</v>
      </c>
    </row>
    <row r="28" spans="1:19" x14ac:dyDescent="0.25">
      <c r="A28" s="4">
        <v>1451220300</v>
      </c>
      <c r="B28" t="s">
        <v>5</v>
      </c>
      <c r="C28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 xml:space="preserve">Convênios 2.5(c) </v>
      </c>
      <c r="D28" s="5">
        <v>1128.4872404614021</v>
      </c>
      <c r="E28" s="5">
        <v>363.08905057675241</v>
      </c>
      <c r="F28" s="5">
        <v>758.79472049689446</v>
      </c>
      <c r="G28" s="5">
        <v>63.885412599822537</v>
      </c>
      <c r="H28" s="5"/>
      <c r="I28" s="5"/>
      <c r="J28" s="5"/>
      <c r="K28" s="5"/>
      <c r="L28" s="5"/>
      <c r="M28" s="5"/>
      <c r="N28" s="5"/>
      <c r="O28" s="5"/>
      <c r="P28" s="5">
        <f>SUM(tb_BaseDados_Anterior[[#This Row],[Janeiro]:[Março]])</f>
        <v>2250.3710115350491</v>
      </c>
      <c r="Q28" s="5">
        <f>SUM(tb_BaseDados_Anterior[[#This Row],[Abril]:[Junho]])</f>
        <v>63.885412599822537</v>
      </c>
      <c r="R28" s="5">
        <f>SUM(tb_BaseDados_Anterior[[#This Row],[Julho]:[Setembro]])</f>
        <v>0</v>
      </c>
      <c r="S28" s="5">
        <f>SUM(tb_BaseDados_Anterior[[#This Row],[Outubro]:[Dezembro]])</f>
        <v>0</v>
      </c>
    </row>
    <row r="29" spans="1:19" x14ac:dyDescent="0.25">
      <c r="A29" s="4">
        <v>1459020100</v>
      </c>
      <c r="B29" t="s">
        <v>4</v>
      </c>
      <c r="C29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29" s="5">
        <v>1954.7779414374447</v>
      </c>
      <c r="E29" s="5">
        <v>833.98818101153506</v>
      </c>
      <c r="F29" s="5">
        <v>321.07295474711623</v>
      </c>
      <c r="G29" s="5">
        <v>0.27116237799467613</v>
      </c>
      <c r="H29" s="5"/>
      <c r="I29" s="5"/>
      <c r="J29" s="5"/>
      <c r="K29" s="5"/>
      <c r="L29" s="5"/>
      <c r="M29" s="5"/>
      <c r="N29" s="5"/>
      <c r="O29" s="5"/>
      <c r="P29" s="5">
        <f>SUM(tb_BaseDados_Anterior[[#This Row],[Janeiro]:[Março]])</f>
        <v>3109.8390771960958</v>
      </c>
      <c r="Q29" s="5">
        <f>SUM(tb_BaseDados_Anterior[[#This Row],[Abril]:[Junho]])</f>
        <v>0.27116237799467613</v>
      </c>
      <c r="R29" s="5">
        <f>SUM(tb_BaseDados_Anterior[[#This Row],[Julho]:[Setembro]])</f>
        <v>0</v>
      </c>
      <c r="S29" s="5">
        <f>SUM(tb_BaseDados_Anterior[[#This Row],[Outubro]:[Dezembro]])</f>
        <v>0</v>
      </c>
    </row>
    <row r="30" spans="1:19" x14ac:dyDescent="0.25">
      <c r="A30" s="4">
        <v>1463110100</v>
      </c>
      <c r="B30" t="s">
        <v>6</v>
      </c>
      <c r="C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30" s="5">
        <v>9.0434338952972499</v>
      </c>
      <c r="E30" s="5">
        <v>9.4358030168589178</v>
      </c>
      <c r="F30" s="5">
        <v>9.5112688553682343</v>
      </c>
      <c r="G30" s="5">
        <v>0</v>
      </c>
      <c r="H30" s="5"/>
      <c r="I30" s="5"/>
      <c r="J30" s="5"/>
      <c r="K30" s="5"/>
      <c r="L30" s="5"/>
      <c r="M30" s="5"/>
      <c r="N30" s="5"/>
      <c r="O30" s="5"/>
      <c r="P30" s="5">
        <f>SUM(tb_BaseDados_Anterior[[#This Row],[Janeiro]:[Março]])</f>
        <v>27.990505767524404</v>
      </c>
      <c r="Q30" s="5">
        <f>SUM(tb_BaseDados_Anterior[[#This Row],[Abril]:[Junho]])</f>
        <v>0</v>
      </c>
      <c r="R30" s="5">
        <f>SUM(tb_BaseDados_Anterior[[#This Row],[Julho]:[Setembro]])</f>
        <v>0</v>
      </c>
      <c r="S30" s="5">
        <f>SUM(tb_BaseDados_Anterior[[#This Row],[Outubro]:[Dezembro]])</f>
        <v>0</v>
      </c>
    </row>
    <row r="31" spans="1:19" x14ac:dyDescent="0.25">
      <c r="A31" s="4">
        <v>1463920100</v>
      </c>
      <c r="B31" t="s">
        <v>7</v>
      </c>
      <c r="C31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31" s="5">
        <v>2512.4677817213842</v>
      </c>
      <c r="E31" s="5">
        <v>9952.5133984028398</v>
      </c>
      <c r="F31" s="5">
        <v>2463.5619787045252</v>
      </c>
      <c r="G31" s="5">
        <v>0</v>
      </c>
      <c r="H31" s="5"/>
      <c r="I31" s="5"/>
      <c r="J31" s="5"/>
      <c r="K31" s="5"/>
      <c r="L31" s="5"/>
      <c r="M31" s="5"/>
      <c r="N31" s="5"/>
      <c r="O31" s="5"/>
      <c r="P31" s="5">
        <f>SUM(tb_BaseDados_Anterior[[#This Row],[Janeiro]:[Março]])</f>
        <v>14928.54315882875</v>
      </c>
      <c r="Q31" s="5">
        <f>SUM(tb_BaseDados_Anterior[[#This Row],[Abril]:[Junho]])</f>
        <v>0</v>
      </c>
      <c r="R31" s="5">
        <f>SUM(tb_BaseDados_Anterior[[#This Row],[Julho]:[Setembro]])</f>
        <v>0</v>
      </c>
      <c r="S31" s="5">
        <f>SUM(tb_BaseDados_Anterior[[#This Row],[Outubro]:[Dezembro]])</f>
        <v>0</v>
      </c>
    </row>
    <row r="32" spans="1:19" x14ac:dyDescent="0.25">
      <c r="A32" s="4">
        <v>1499610100</v>
      </c>
      <c r="B32" t="s">
        <v>8</v>
      </c>
      <c r="C3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32" s="5">
        <v>5.0779325643300801</v>
      </c>
      <c r="E32" s="5">
        <v>5.9123336291038155</v>
      </c>
      <c r="F32" s="5">
        <v>5.5626796805678795</v>
      </c>
      <c r="G32" s="5">
        <v>1.755527950310559</v>
      </c>
      <c r="H32" s="5"/>
      <c r="I32" s="5"/>
      <c r="J32" s="5"/>
      <c r="K32" s="5"/>
      <c r="L32" s="5"/>
      <c r="M32" s="5"/>
      <c r="N32" s="5"/>
      <c r="O32" s="5"/>
      <c r="P32" s="5">
        <f>SUM(tb_BaseDados_Anterior[[#This Row],[Janeiro]:[Março]])</f>
        <v>16.552945874001775</v>
      </c>
      <c r="Q32" s="5">
        <f>SUM(tb_BaseDados_Anterior[[#This Row],[Abril]:[Junho]])</f>
        <v>1.755527950310559</v>
      </c>
      <c r="R32" s="5">
        <f>SUM(tb_BaseDados_Anterior[[#This Row],[Julho]:[Setembro]])</f>
        <v>0</v>
      </c>
      <c r="S32" s="5">
        <f>SUM(tb_BaseDados_Anterior[[#This Row],[Outubro]:[Dezembro]])</f>
        <v>0</v>
      </c>
    </row>
    <row r="33" spans="1:19" x14ac:dyDescent="0.25">
      <c r="A33" s="4">
        <v>1499910100</v>
      </c>
      <c r="B33" t="s">
        <v>9</v>
      </c>
      <c r="C3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33" s="5">
        <v>104.21086956521738</v>
      </c>
      <c r="E33" s="5">
        <v>122.37034605146407</v>
      </c>
      <c r="F33" s="5">
        <v>228.16210292812778</v>
      </c>
      <c r="G33" s="5">
        <v>8.8067701863354042</v>
      </c>
      <c r="H33" s="5"/>
      <c r="I33" s="5"/>
      <c r="J33" s="5"/>
      <c r="K33" s="5"/>
      <c r="L33" s="5"/>
      <c r="M33" s="5"/>
      <c r="N33" s="5"/>
      <c r="O33" s="5"/>
      <c r="P33" s="5">
        <f>SUM(tb_BaseDados_Anterior[[#This Row],[Janeiro]:[Março]])</f>
        <v>454.7433185448092</v>
      </c>
      <c r="Q33" s="5">
        <f>SUM(tb_BaseDados_Anterior[[#This Row],[Abril]:[Junho]])</f>
        <v>8.8067701863354042</v>
      </c>
      <c r="R33" s="5">
        <f>SUM(tb_BaseDados_Anterior[[#This Row],[Julho]:[Setembro]])</f>
        <v>0</v>
      </c>
      <c r="S33" s="5">
        <f>SUM(tb_BaseDados_Anterior[[#This Row],[Outubro]:[Dezembro]])</f>
        <v>0</v>
      </c>
    </row>
  </sheetData>
  <conditionalFormatting sqref="C2:C33">
    <cfRule type="containsText" dxfId="30" priority="1" operator="containsText" text="FAVOR CLASSIFICAR">
      <formula>NOT(ISERROR(SEARCH("FAVOR CLASSIFICAR",C2)))</formula>
    </cfRule>
    <cfRule type="containsText" dxfId="29" priority="2" operator="containsText" text="CONTA NÃO ENCONTRADA">
      <formula>NOT(ISERROR(SEARCH("CONTA NÃO ENCONTRADA",C2)))</formula>
    </cfRule>
    <cfRule type="containsText" dxfId="28" priority="3" operator="containsText" text="FAVOR CLASSIFICAR">
      <formula>NOT(ISERROR(SEARCH("FAVOR CLASSIFICAR",C2)))</formula>
    </cfRule>
    <cfRule type="containsText" dxfId="27" priority="4" operator="containsText" text="FAVOR CLASSIFICAR">
      <formula>NOT(ISERROR(SEARCH("FAVOR CLASSIFICAR",C2)))</formula>
    </cfRule>
    <cfRule type="containsText" dxfId="26" priority="5" operator="containsText" text="FAVOR CLASSIFICAR">
      <formula>NOT(ISERROR(SEARCH("FAVOR CLASSIFICAR",C2)))</formula>
    </cfRule>
    <cfRule type="containsText" dxfId="25" priority="6" operator="containsText" text="FAVOR CLASSIFICAR">
      <formula>NOT(ISERROR(SEARCH("FAVOR CLASSIFICAR",C2)))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ClassificaContaDRE">
    <tabColor theme="9" tint="0.59999389629810485"/>
  </sheetPr>
  <dimension ref="A1:S33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7" sqref="C7"/>
    </sheetView>
  </sheetViews>
  <sheetFormatPr defaultRowHeight="15" x14ac:dyDescent="0.25"/>
  <cols>
    <col min="1" max="1" width="20.7109375" customWidth="1"/>
    <col min="2" max="2" width="60.7109375" customWidth="1"/>
    <col min="3" max="3" width="63.7109375" bestFit="1" customWidth="1"/>
    <col min="4" max="19" width="10.7109375" customWidth="1"/>
  </cols>
  <sheetData>
    <row r="1" spans="1:19" ht="45" customHeight="1" x14ac:dyDescent="0.25">
      <c r="A1" s="3" t="s">
        <v>33</v>
      </c>
      <c r="B1" s="3" t="s">
        <v>32</v>
      </c>
      <c r="C1" s="3" t="s">
        <v>34</v>
      </c>
      <c r="D1" s="3" t="s">
        <v>37</v>
      </c>
      <c r="E1" s="3" t="s">
        <v>38</v>
      </c>
      <c r="F1" s="3" t="s">
        <v>39</v>
      </c>
      <c r="G1" s="3" t="s">
        <v>40</v>
      </c>
      <c r="H1" s="3" t="s">
        <v>41</v>
      </c>
      <c r="I1" s="3" t="s">
        <v>42</v>
      </c>
      <c r="J1" s="3" t="s">
        <v>43</v>
      </c>
      <c r="K1" s="3" t="s">
        <v>44</v>
      </c>
      <c r="L1" s="3" t="s">
        <v>45</v>
      </c>
      <c r="M1" s="3" t="s">
        <v>46</v>
      </c>
      <c r="N1" s="3" t="s">
        <v>47</v>
      </c>
      <c r="O1" s="3" t="s">
        <v>48</v>
      </c>
      <c r="P1" s="3" t="s">
        <v>80</v>
      </c>
      <c r="Q1" s="3" t="s">
        <v>81</v>
      </c>
      <c r="R1" s="3" t="s">
        <v>82</v>
      </c>
      <c r="S1" s="3" t="s">
        <v>83</v>
      </c>
    </row>
    <row r="2" spans="1:19" x14ac:dyDescent="0.25">
      <c r="A2" s="4">
        <v>1311210100</v>
      </c>
      <c r="B2" t="s">
        <v>10</v>
      </c>
      <c r="C2" t="s">
        <v>116</v>
      </c>
      <c r="D2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2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2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2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3" spans="1:19" x14ac:dyDescent="0.25">
      <c r="A3" s="4">
        <v>1311210300</v>
      </c>
      <c r="B3" t="s">
        <v>11</v>
      </c>
      <c r="C3" t="s">
        <v>116</v>
      </c>
      <c r="D3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3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3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3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3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3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3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3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3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3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3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3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3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3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3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3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4" spans="1:19" x14ac:dyDescent="0.25">
      <c r="A4" s="4">
        <v>1311210400</v>
      </c>
      <c r="B4" t="s">
        <v>12</v>
      </c>
      <c r="C4" t="s">
        <v>116</v>
      </c>
      <c r="D4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4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4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4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4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4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4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4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4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4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4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4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4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4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4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4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5" spans="1:19" x14ac:dyDescent="0.25">
      <c r="A5" s="4">
        <v>1311210500</v>
      </c>
      <c r="B5" t="s">
        <v>13</v>
      </c>
      <c r="C5" t="s">
        <v>116</v>
      </c>
      <c r="D5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5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5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5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5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5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5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5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5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5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5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5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5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5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5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5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6" spans="1:19" x14ac:dyDescent="0.25">
      <c r="A6" s="4">
        <v>1311210600</v>
      </c>
      <c r="B6" t="s">
        <v>14</v>
      </c>
      <c r="C6" t="s">
        <v>116</v>
      </c>
      <c r="D6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6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6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6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6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6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6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6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6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6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6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6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6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6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6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6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7" spans="1:19" x14ac:dyDescent="0.25">
      <c r="A7" s="4">
        <v>1311210700</v>
      </c>
      <c r="B7" t="s">
        <v>15</v>
      </c>
      <c r="C7" t="s">
        <v>119</v>
      </c>
      <c r="D7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7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7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7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7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7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7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7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7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7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7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7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7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7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7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7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8" spans="1:19" x14ac:dyDescent="0.25">
      <c r="A8" s="4">
        <v>1312510100</v>
      </c>
      <c r="B8" t="s">
        <v>31</v>
      </c>
      <c r="C8" t="s">
        <v>116</v>
      </c>
      <c r="D8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8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8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8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8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8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8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8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8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8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8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8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8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8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8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8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9" spans="1:19" x14ac:dyDescent="0.25">
      <c r="A9" s="4">
        <v>1313210600</v>
      </c>
      <c r="B9" t="s">
        <v>16</v>
      </c>
      <c r="C9" t="s">
        <v>116</v>
      </c>
      <c r="D9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9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9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9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9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9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9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9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9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9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9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9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9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9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9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9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0" spans="1:19" x14ac:dyDescent="0.25">
      <c r="A10" s="4">
        <v>1331110300</v>
      </c>
      <c r="B10" t="s">
        <v>17</v>
      </c>
      <c r="C10" t="s">
        <v>116</v>
      </c>
      <c r="D10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10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10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10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10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0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0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0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0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0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0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0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0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10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10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0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1" spans="1:19" x14ac:dyDescent="0.25">
      <c r="A11" s="4">
        <v>1331110500</v>
      </c>
      <c r="B11" t="s">
        <v>18</v>
      </c>
      <c r="C11" t="s">
        <v>116</v>
      </c>
      <c r="D11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11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11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11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11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1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1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1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1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1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1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1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1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11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11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1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2" spans="1:19" x14ac:dyDescent="0.25">
      <c r="A12" s="4">
        <v>1332310800</v>
      </c>
      <c r="B12" t="s">
        <v>19</v>
      </c>
      <c r="C12" t="s">
        <v>116</v>
      </c>
      <c r="D12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12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12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12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12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2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2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2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2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2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2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2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2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12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12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2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3" spans="1:19" x14ac:dyDescent="0.25">
      <c r="A13" s="4">
        <v>1332320900</v>
      </c>
      <c r="B13" t="s">
        <v>20</v>
      </c>
      <c r="C13" t="s">
        <v>116</v>
      </c>
      <c r="D13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13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13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13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3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3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3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3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3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3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3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3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3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13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3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3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4" spans="1:19" x14ac:dyDescent="0.25">
      <c r="A14" s="4">
        <v>1332340300</v>
      </c>
      <c r="B14" t="s">
        <v>21</v>
      </c>
      <c r="C14" t="s">
        <v>116</v>
      </c>
      <c r="D14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14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14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14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4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4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4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4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4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4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4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4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4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14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4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4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5" spans="1:19" x14ac:dyDescent="0.25">
      <c r="A15" s="4">
        <v>1342310100</v>
      </c>
      <c r="B15" t="s">
        <v>29</v>
      </c>
      <c r="C15" t="s">
        <v>116</v>
      </c>
      <c r="D15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15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15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15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15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5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5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5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5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5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5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5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5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15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15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5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6" spans="1:19" x14ac:dyDescent="0.25">
      <c r="A16" s="4">
        <v>1365020100</v>
      </c>
      <c r="B16" t="s">
        <v>30</v>
      </c>
      <c r="C16" t="s">
        <v>116</v>
      </c>
      <c r="D16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16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16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16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6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6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6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6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6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6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6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6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6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16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6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6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7" spans="1:19" x14ac:dyDescent="0.25">
      <c r="A17" s="4">
        <v>1371110800</v>
      </c>
      <c r="B17" t="s">
        <v>23</v>
      </c>
      <c r="C17" t="s">
        <v>116</v>
      </c>
      <c r="D17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17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17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17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7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7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7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7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7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7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7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7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7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17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7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7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8" spans="1:19" x14ac:dyDescent="0.25">
      <c r="A18" s="4">
        <v>1371129900</v>
      </c>
      <c r="B18" t="s">
        <v>24</v>
      </c>
      <c r="C18" t="s">
        <v>116</v>
      </c>
      <c r="D18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18" s="30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8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18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8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8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8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8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8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8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8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8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8" s="30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8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8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8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9" spans="1:19" x14ac:dyDescent="0.25">
      <c r="A19" s="4">
        <v>1371220100</v>
      </c>
      <c r="B19" t="s">
        <v>25</v>
      </c>
      <c r="C19" t="s">
        <v>116</v>
      </c>
      <c r="D19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19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19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19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19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9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9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9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9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9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9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9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9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19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19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9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0" spans="1:19" x14ac:dyDescent="0.25">
      <c r="A20" s="4">
        <v>1372110600</v>
      </c>
      <c r="B20" t="s">
        <v>27</v>
      </c>
      <c r="C20" t="s">
        <v>116</v>
      </c>
      <c r="D20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0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0" s="30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0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0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0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0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0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0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0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0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0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0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0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0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0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1" spans="1:19" x14ac:dyDescent="0.25">
      <c r="A21" s="4">
        <v>1372120500</v>
      </c>
      <c r="B21" t="s">
        <v>26</v>
      </c>
      <c r="C21" t="s">
        <v>116</v>
      </c>
      <c r="D21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1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1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21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21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1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1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1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1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1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1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1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1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1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21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1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2" spans="1:19" x14ac:dyDescent="0.25">
      <c r="A22" s="4">
        <v>1372350100</v>
      </c>
      <c r="B22" t="s">
        <v>28</v>
      </c>
      <c r="C22" t="s">
        <v>116</v>
      </c>
      <c r="D22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2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2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22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22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2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2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2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2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2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2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2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2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2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22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2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3" spans="1:19" x14ac:dyDescent="0.25">
      <c r="A23" s="4">
        <v>1394110100</v>
      </c>
      <c r="B23" t="s">
        <v>22</v>
      </c>
      <c r="C23" t="s">
        <v>116</v>
      </c>
      <c r="D23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3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3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23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23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3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3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3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3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3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3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3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3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3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23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3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4" spans="1:19" x14ac:dyDescent="0.25">
      <c r="A24" s="4">
        <v>1431111200</v>
      </c>
      <c r="B24" t="s">
        <v>0</v>
      </c>
      <c r="C24" t="s">
        <v>116</v>
      </c>
      <c r="D24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4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4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24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24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4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4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4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4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4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4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4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4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4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24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4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5" spans="1:19" x14ac:dyDescent="0.25">
      <c r="A25" s="4">
        <v>1433110100</v>
      </c>
      <c r="B25" t="s">
        <v>1</v>
      </c>
      <c r="C25" t="s">
        <v>116</v>
      </c>
      <c r="D25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5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5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25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25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5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5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5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5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5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5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5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5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5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25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5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6" spans="1:19" x14ac:dyDescent="0.25">
      <c r="A26" s="4">
        <v>1433910900</v>
      </c>
      <c r="B26" t="s">
        <v>2</v>
      </c>
      <c r="C26" t="s">
        <v>101</v>
      </c>
      <c r="D26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6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6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26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6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6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6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6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6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6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6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6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6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6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6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6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7" spans="1:19" x14ac:dyDescent="0.25">
      <c r="A27" s="4">
        <v>1451120200</v>
      </c>
      <c r="B27" t="s">
        <v>3</v>
      </c>
      <c r="C27" t="s">
        <v>102</v>
      </c>
      <c r="D27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7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7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27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27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7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7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7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7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7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7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7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7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7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27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7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8" spans="1:19" x14ac:dyDescent="0.25">
      <c r="A28" s="4">
        <v>1451220300</v>
      </c>
      <c r="B28" t="s">
        <v>5</v>
      </c>
      <c r="C28" t="s">
        <v>102</v>
      </c>
      <c r="D28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8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8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28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28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8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8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8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8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8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8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8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8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8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28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8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9" spans="1:19" x14ac:dyDescent="0.25">
      <c r="A29" s="4">
        <v>1459020100</v>
      </c>
      <c r="B29" t="s">
        <v>4</v>
      </c>
      <c r="C29" t="s">
        <v>116</v>
      </c>
      <c r="D29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9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9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29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29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9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9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9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9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9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9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9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9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9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29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9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30" spans="1:19" x14ac:dyDescent="0.25">
      <c r="A30" s="4">
        <v>1463110100</v>
      </c>
      <c r="B30" t="s">
        <v>6</v>
      </c>
      <c r="C30" t="s">
        <v>116</v>
      </c>
      <c r="D30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30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30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30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30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30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30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30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30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30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30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30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30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30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30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30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31" spans="1:19" x14ac:dyDescent="0.25">
      <c r="A31" s="4">
        <v>1463920100</v>
      </c>
      <c r="B31" t="s">
        <v>7</v>
      </c>
      <c r="C31" t="s">
        <v>116</v>
      </c>
      <c r="D31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31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31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31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31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31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31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31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31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31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31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31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31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31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31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31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32" spans="1:19" x14ac:dyDescent="0.25">
      <c r="A32" s="4">
        <v>1499610100</v>
      </c>
      <c r="B32" t="s">
        <v>8</v>
      </c>
      <c r="C32" t="s">
        <v>116</v>
      </c>
      <c r="D32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32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32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32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32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32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32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32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32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32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32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32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32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32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32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32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33" spans="1:19" x14ac:dyDescent="0.25">
      <c r="A33" s="4">
        <v>1499910100</v>
      </c>
      <c r="B33" t="s">
        <v>9</v>
      </c>
      <c r="C33" t="s">
        <v>116</v>
      </c>
      <c r="D33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33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33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33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33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33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33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33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33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33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33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33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33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33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33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33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</sheetData>
  <dataValidations count="1">
    <dataValidation type="list" allowBlank="1" showInputMessage="1" showErrorMessage="1" sqref="C2:C33">
      <formula1>lst_DescDRE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ignoredErrors>
    <ignoredError sqref="F2:S3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theme="7" tint="0.39997558519241921"/>
    <pageSetUpPr fitToPage="1"/>
  </sheetPr>
  <dimension ref="A1:G4"/>
  <sheetViews>
    <sheetView showGridLines="0" workbookViewId="0">
      <selection activeCell="A2" sqref="A2"/>
    </sheetView>
  </sheetViews>
  <sheetFormatPr defaultRowHeight="15" x14ac:dyDescent="0.25"/>
  <cols>
    <col min="1" max="1" width="20.7109375" customWidth="1"/>
    <col min="2" max="2" width="14" bestFit="1" customWidth="1"/>
    <col min="3" max="3" width="51.5703125" bestFit="1" customWidth="1"/>
    <col min="4" max="7" width="30.7109375" customWidth="1"/>
  </cols>
  <sheetData>
    <row r="1" spans="1:7" ht="30" customHeight="1" x14ac:dyDescent="0.25">
      <c r="A1" s="3" t="s">
        <v>33</v>
      </c>
      <c r="B1" s="3" t="s">
        <v>32</v>
      </c>
      <c r="C1" s="3" t="s">
        <v>34</v>
      </c>
      <c r="D1" s="3" t="s">
        <v>121</v>
      </c>
      <c r="E1" s="3" t="s">
        <v>122</v>
      </c>
      <c r="F1" s="3" t="s">
        <v>123</v>
      </c>
      <c r="G1" s="3" t="s">
        <v>124</v>
      </c>
    </row>
    <row r="2" spans="1:7" x14ac:dyDescent="0.25">
      <c r="A2" s="2">
        <v>433950500</v>
      </c>
      <c r="B2" s="32" t="str">
        <f>IF(NOT(ISERROR(VLOOKUP(Tabela2[[#This Row],[Conta Contábil]],tb_ClassConta[[Conta Contábil]:[Classificação]],2,FALSE))),VLOOKUP(Tabela2[[#This Row],[Conta Contábil]],tb_ClassConta[[Conta Contábil]:[Classificação]],2,FALSE),"")</f>
        <v/>
      </c>
      <c r="C2" s="32" t="str">
        <f>IF(NOT(ISERROR(VLOOKUP(Tabela2[[#This Row],[Conta Contábil]],tb_ClassConta[[Conta Contábil]:[Classificação]],3,FALSE))),VLOOKUP(Tabela2[[#This Row],[Conta Contábil]],tb_ClassConta[[Conta Contábil]:[Classificação]],3,FALSE),"")</f>
        <v/>
      </c>
      <c r="D2" s="31"/>
      <c r="E2" s="31"/>
      <c r="F2" s="31"/>
      <c r="G2" s="31"/>
    </row>
    <row r="3" spans="1:7" x14ac:dyDescent="0.25">
      <c r="A3" s="33">
        <v>433910900</v>
      </c>
      <c r="B3" s="32" t="str">
        <f>IF(NOT(ISERROR(VLOOKUP(Tabela2[[#This Row],[Conta Contábil]],tb_ClassConta[[Conta Contábil]:[Classificação]],2,FALSE))),VLOOKUP(Tabela2[[#This Row],[Conta Contábil]],tb_ClassConta[[Conta Contábil]:[Classificação]],2,FALSE),"")</f>
        <v/>
      </c>
      <c r="C3" s="32" t="str">
        <f>IF(NOT(ISERROR(VLOOKUP(Tabela2[[#This Row],[Conta Contábil]],tb_ClassConta[[Conta Contábil]:[Classificação]],3,FALSE))),VLOOKUP(Tabela2[[#This Row],[Conta Contábil]],tb_ClassConta[[Conta Contábil]:[Classificação]],3,FALSE),"")</f>
        <v/>
      </c>
      <c r="D3" s="31"/>
      <c r="E3" s="31"/>
      <c r="F3" s="31"/>
      <c r="G3" s="31"/>
    </row>
    <row r="4" spans="1:7" x14ac:dyDescent="0.25">
      <c r="A4" s="4"/>
    </row>
  </sheetData>
  <printOptions horizontalCentered="1"/>
  <pageMargins left="0.23622047244094491" right="0.23622047244094491" top="0.74803149606299213" bottom="0.74803149606299213" header="0.31496062992125984" footer="0.31496062992125984"/>
  <pageSetup paperSize="9" scale="68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Tabelas">
    <tabColor theme="7" tint="0.59999389629810485"/>
  </sheetPr>
  <dimension ref="A1:F26"/>
  <sheetViews>
    <sheetView showGridLines="0" topLeftCell="A7" workbookViewId="0"/>
  </sheetViews>
  <sheetFormatPr defaultRowHeight="15" x14ac:dyDescent="0.25"/>
  <cols>
    <col min="1" max="1" width="63.5703125" style="1" bestFit="1" customWidth="1"/>
    <col min="3" max="3" width="12.7109375" customWidth="1"/>
    <col min="5" max="6" width="15.7109375" customWidth="1"/>
  </cols>
  <sheetData>
    <row r="1" spans="1:6" ht="45" customHeight="1" x14ac:dyDescent="0.25">
      <c r="A1" s="2" t="s">
        <v>85</v>
      </c>
      <c r="C1" s="3" t="s">
        <v>84</v>
      </c>
      <c r="E1" s="2" t="s">
        <v>86</v>
      </c>
      <c r="F1" s="2" t="s">
        <v>87</v>
      </c>
    </row>
    <row r="2" spans="1:6" ht="17.25" x14ac:dyDescent="0.25">
      <c r="A2" s="1" t="s">
        <v>50</v>
      </c>
      <c r="C2" s="2" t="s">
        <v>63</v>
      </c>
      <c r="E2" s="19" t="s">
        <v>80</v>
      </c>
      <c r="F2" s="19" t="s">
        <v>65</v>
      </c>
    </row>
    <row r="3" spans="1:6" ht="17.25" x14ac:dyDescent="0.25">
      <c r="A3" s="1" t="s">
        <v>51</v>
      </c>
      <c r="C3" s="2" t="s">
        <v>64</v>
      </c>
      <c r="E3" s="19" t="s">
        <v>81</v>
      </c>
      <c r="F3" s="19" t="s">
        <v>68</v>
      </c>
    </row>
    <row r="4" spans="1:6" ht="17.25" x14ac:dyDescent="0.25">
      <c r="A4" s="1" t="s">
        <v>52</v>
      </c>
      <c r="C4" s="2" t="s">
        <v>65</v>
      </c>
      <c r="E4" s="19" t="s">
        <v>82</v>
      </c>
      <c r="F4" s="19" t="s">
        <v>71</v>
      </c>
    </row>
    <row r="5" spans="1:6" x14ac:dyDescent="0.25">
      <c r="A5" s="1" t="s">
        <v>92</v>
      </c>
      <c r="C5" s="2" t="s">
        <v>66</v>
      </c>
      <c r="E5" s="19" t="s">
        <v>83</v>
      </c>
      <c r="F5" s="19" t="s">
        <v>74</v>
      </c>
    </row>
    <row r="6" spans="1:6" ht="17.25" x14ac:dyDescent="0.25">
      <c r="A6" s="1" t="s">
        <v>53</v>
      </c>
      <c r="C6" s="2" t="s">
        <v>67</v>
      </c>
    </row>
    <row r="7" spans="1:6" x14ac:dyDescent="0.25">
      <c r="A7" s="1" t="s">
        <v>93</v>
      </c>
      <c r="C7" s="2" t="s">
        <v>68</v>
      </c>
    </row>
    <row r="8" spans="1:6" ht="17.25" x14ac:dyDescent="0.25">
      <c r="A8" s="1" t="s">
        <v>94</v>
      </c>
      <c r="C8" s="2" t="s">
        <v>69</v>
      </c>
    </row>
    <row r="9" spans="1:6" ht="17.25" x14ac:dyDescent="0.25">
      <c r="A9" s="1" t="s">
        <v>54</v>
      </c>
      <c r="C9" s="2" t="s">
        <v>70</v>
      </c>
    </row>
    <row r="10" spans="1:6" ht="17.25" x14ac:dyDescent="0.25">
      <c r="A10" s="1" t="s">
        <v>55</v>
      </c>
      <c r="C10" s="2" t="s">
        <v>71</v>
      </c>
    </row>
    <row r="11" spans="1:6" ht="17.25" x14ac:dyDescent="0.25">
      <c r="A11" s="1" t="s">
        <v>56</v>
      </c>
      <c r="C11" s="2" t="s">
        <v>72</v>
      </c>
    </row>
    <row r="12" spans="1:6" ht="17.25" x14ac:dyDescent="0.25">
      <c r="A12" s="1" t="s">
        <v>95</v>
      </c>
      <c r="C12" s="2" t="s">
        <v>73</v>
      </c>
    </row>
    <row r="13" spans="1:6" ht="17.25" x14ac:dyDescent="0.25">
      <c r="A13" s="1" t="s">
        <v>57</v>
      </c>
      <c r="C13" s="2" t="s">
        <v>74</v>
      </c>
    </row>
    <row r="14" spans="1:6" ht="17.25" x14ac:dyDescent="0.25">
      <c r="A14" s="1" t="s">
        <v>58</v>
      </c>
    </row>
    <row r="15" spans="1:6" ht="17.25" x14ac:dyDescent="0.25">
      <c r="A15" s="1" t="s">
        <v>59</v>
      </c>
    </row>
    <row r="16" spans="1:6" ht="17.25" x14ac:dyDescent="0.25">
      <c r="A16" s="1" t="s">
        <v>96</v>
      </c>
    </row>
    <row r="17" spans="1:1" ht="17.25" x14ac:dyDescent="0.25">
      <c r="A17" s="1" t="s">
        <v>112</v>
      </c>
    </row>
    <row r="18" spans="1:1" ht="17.25" x14ac:dyDescent="0.25">
      <c r="A18" s="1" t="s">
        <v>60</v>
      </c>
    </row>
    <row r="19" spans="1:1" ht="17.25" x14ac:dyDescent="0.25">
      <c r="A19" s="1" t="s">
        <v>107</v>
      </c>
    </row>
    <row r="20" spans="1:1" ht="17.25" x14ac:dyDescent="0.25">
      <c r="A20" s="1" t="s">
        <v>108</v>
      </c>
    </row>
    <row r="21" spans="1:1" x14ac:dyDescent="0.25">
      <c r="A21" s="1" t="s">
        <v>97</v>
      </c>
    </row>
    <row r="22" spans="1:1" ht="17.25" x14ac:dyDescent="0.25">
      <c r="A22" s="1" t="s">
        <v>109</v>
      </c>
    </row>
    <row r="23" spans="1:1" x14ac:dyDescent="0.25">
      <c r="A23" s="1" t="s">
        <v>98</v>
      </c>
    </row>
    <row r="24" spans="1:1" x14ac:dyDescent="0.25">
      <c r="A24" s="1" t="s">
        <v>35</v>
      </c>
    </row>
    <row r="25" spans="1:1" x14ac:dyDescent="0.25">
      <c r="A25" s="1" t="s">
        <v>36</v>
      </c>
    </row>
    <row r="26" spans="1:1" ht="17.25" x14ac:dyDescent="0.25">
      <c r="A26" s="1" t="s">
        <v>111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Temp">
    <tabColor rgb="FFFF0000"/>
  </sheetPr>
  <dimension ref="A1:G32"/>
  <sheetViews>
    <sheetView workbookViewId="0">
      <selection sqref="A1:G32"/>
    </sheetView>
  </sheetViews>
  <sheetFormatPr defaultRowHeight="15" x14ac:dyDescent="0.25"/>
  <sheetData>
    <row r="1" spans="1:7" x14ac:dyDescent="0.25">
      <c r="A1">
        <v>1311210100</v>
      </c>
      <c r="B1" t="s">
        <v>10</v>
      </c>
      <c r="D1">
        <v>73757.569174800345</v>
      </c>
      <c r="E1">
        <v>73760.978926353157</v>
      </c>
      <c r="F1">
        <v>73359.72410825199</v>
      </c>
      <c r="G1">
        <v>22.070425909494233</v>
      </c>
    </row>
    <row r="2" spans="1:7" x14ac:dyDescent="0.25">
      <c r="A2">
        <v>1311210300</v>
      </c>
      <c r="B2" t="s">
        <v>11</v>
      </c>
      <c r="D2">
        <v>3104.2464418811005</v>
      </c>
      <c r="E2">
        <v>2857.4273203194321</v>
      </c>
      <c r="F2">
        <v>2983.8142857142857</v>
      </c>
      <c r="G2">
        <v>0</v>
      </c>
    </row>
    <row r="3" spans="1:7" x14ac:dyDescent="0.25">
      <c r="A3">
        <v>1311210400</v>
      </c>
      <c r="B3" t="s">
        <v>12</v>
      </c>
      <c r="D3">
        <v>32506.899707187222</v>
      </c>
      <c r="E3">
        <v>32533.767808340726</v>
      </c>
      <c r="F3">
        <v>32403.082236024846</v>
      </c>
      <c r="G3">
        <v>0</v>
      </c>
    </row>
    <row r="4" spans="1:7" x14ac:dyDescent="0.25">
      <c r="A4">
        <v>1311210500</v>
      </c>
      <c r="B4" t="s">
        <v>13</v>
      </c>
      <c r="D4">
        <v>12581.51314108252</v>
      </c>
      <c r="E4">
        <v>12518.543629103815</v>
      </c>
      <c r="F4">
        <v>12523.951295474712</v>
      </c>
      <c r="G4">
        <v>0</v>
      </c>
    </row>
    <row r="5" spans="1:7" x14ac:dyDescent="0.25">
      <c r="A5">
        <v>1311210600</v>
      </c>
      <c r="B5" t="s">
        <v>14</v>
      </c>
      <c r="D5">
        <v>9432.7458740017737</v>
      </c>
      <c r="E5">
        <v>9388.9077196095823</v>
      </c>
      <c r="F5">
        <v>9396.5923425022193</v>
      </c>
      <c r="G5">
        <v>0</v>
      </c>
    </row>
    <row r="6" spans="1:7" x14ac:dyDescent="0.25">
      <c r="A6">
        <v>1311210700</v>
      </c>
      <c r="B6" t="s">
        <v>15</v>
      </c>
      <c r="D6">
        <v>1079.3802129547471</v>
      </c>
      <c r="E6">
        <v>950.31896184560776</v>
      </c>
      <c r="F6">
        <v>1622.7753504880213</v>
      </c>
      <c r="G6">
        <v>0</v>
      </c>
    </row>
    <row r="7" spans="1:7" x14ac:dyDescent="0.25">
      <c r="A7">
        <v>1312510100</v>
      </c>
      <c r="B7" t="s">
        <v>31</v>
      </c>
      <c r="D7">
        <v>7939.8236202307016</v>
      </c>
      <c r="E7">
        <v>7986.2291925465843</v>
      </c>
      <c r="F7">
        <v>7915.9892014196985</v>
      </c>
      <c r="G7">
        <v>0.41409050576752443</v>
      </c>
    </row>
    <row r="8" spans="1:7" x14ac:dyDescent="0.25">
      <c r="A8">
        <v>1313210600</v>
      </c>
      <c r="B8" t="s">
        <v>16</v>
      </c>
      <c r="D8">
        <v>801.05137533274183</v>
      </c>
      <c r="E8">
        <v>755.47528837622008</v>
      </c>
      <c r="F8">
        <v>746.50496894409935</v>
      </c>
      <c r="G8">
        <v>0</v>
      </c>
    </row>
    <row r="9" spans="1:7" x14ac:dyDescent="0.25">
      <c r="A9">
        <v>1331110300</v>
      </c>
      <c r="B9" t="s">
        <v>17</v>
      </c>
      <c r="D9">
        <v>198.37871339840285</v>
      </c>
      <c r="E9">
        <v>273.65033717834962</v>
      </c>
      <c r="F9">
        <v>334.93768411712512</v>
      </c>
      <c r="G9">
        <v>75.341614906832305</v>
      </c>
    </row>
    <row r="10" spans="1:7" x14ac:dyDescent="0.25">
      <c r="A10">
        <v>1331110500</v>
      </c>
      <c r="B10" t="s">
        <v>18</v>
      </c>
      <c r="D10">
        <v>40.333682342502215</v>
      </c>
      <c r="E10">
        <v>55.356273291925461</v>
      </c>
      <c r="F10">
        <v>90.161118012422364</v>
      </c>
      <c r="G10">
        <v>0.33123336291038158</v>
      </c>
    </row>
    <row r="11" spans="1:7" x14ac:dyDescent="0.25">
      <c r="A11">
        <v>1332310800</v>
      </c>
      <c r="B11" t="s">
        <v>19</v>
      </c>
      <c r="D11">
        <v>1885.6690417036377</v>
      </c>
      <c r="E11">
        <v>1975.3651996450756</v>
      </c>
      <c r="F11">
        <v>1924.4630434782609</v>
      </c>
      <c r="G11">
        <v>473.70985803016862</v>
      </c>
    </row>
    <row r="12" spans="1:7" x14ac:dyDescent="0.25">
      <c r="A12">
        <v>1332320900</v>
      </c>
      <c r="B12" t="s">
        <v>20</v>
      </c>
      <c r="D12">
        <v>56.138553682342504</v>
      </c>
      <c r="E12">
        <v>-30.731224489795917</v>
      </c>
      <c r="F12">
        <v>26.169884649511978</v>
      </c>
      <c r="G12">
        <v>0</v>
      </c>
    </row>
    <row r="13" spans="1:7" x14ac:dyDescent="0.25">
      <c r="A13">
        <v>1332340300</v>
      </c>
      <c r="B13" t="s">
        <v>21</v>
      </c>
      <c r="D13">
        <v>0.742661934338953</v>
      </c>
      <c r="E13">
        <v>0.54677018633540375</v>
      </c>
      <c r="F13">
        <v>5.7309760425909495</v>
      </c>
      <c r="G13">
        <v>0</v>
      </c>
    </row>
    <row r="14" spans="1:7" x14ac:dyDescent="0.25">
      <c r="A14">
        <v>1342310100</v>
      </c>
      <c r="B14" t="s">
        <v>29</v>
      </c>
      <c r="D14">
        <v>5.6051464063886426E-2</v>
      </c>
      <c r="E14">
        <v>2.3735581188997337E-2</v>
      </c>
      <c r="F14">
        <v>0.44213842058562558</v>
      </c>
      <c r="G14">
        <v>8.1366459627329191E-3</v>
      </c>
    </row>
    <row r="15" spans="1:7" x14ac:dyDescent="0.25">
      <c r="A15">
        <v>1365020100</v>
      </c>
      <c r="B15" t="s">
        <v>30</v>
      </c>
      <c r="D15">
        <v>2411.9201330967171</v>
      </c>
      <c r="E15">
        <v>9928.8776574977801</v>
      </c>
      <c r="F15">
        <v>2354.3277196095828</v>
      </c>
      <c r="G15">
        <v>0</v>
      </c>
    </row>
    <row r="16" spans="1:7" x14ac:dyDescent="0.25">
      <c r="A16">
        <v>1371110800</v>
      </c>
      <c r="B16" t="s">
        <v>23</v>
      </c>
      <c r="D16">
        <v>8.5164241348713396</v>
      </c>
      <c r="E16">
        <v>1.4242236024844719</v>
      </c>
      <c r="F16">
        <v>-9.8040195208518188</v>
      </c>
      <c r="G16">
        <v>0</v>
      </c>
    </row>
    <row r="17" spans="1:7" x14ac:dyDescent="0.25">
      <c r="A17">
        <v>1371129900</v>
      </c>
      <c r="B17" t="s">
        <v>24</v>
      </c>
      <c r="D17">
        <v>1.379396628216504</v>
      </c>
      <c r="E17">
        <v>0</v>
      </c>
      <c r="F17">
        <v>-1.379396628216504</v>
      </c>
      <c r="G17">
        <v>0</v>
      </c>
    </row>
    <row r="18" spans="1:7" x14ac:dyDescent="0.25">
      <c r="A18">
        <v>1371220100</v>
      </c>
      <c r="B18" t="s">
        <v>25</v>
      </c>
      <c r="D18">
        <v>2.2750842945874004</v>
      </c>
      <c r="E18">
        <v>9.0002484472049691</v>
      </c>
      <c r="F18">
        <v>12.166246672582076</v>
      </c>
      <c r="G18">
        <v>8.6183762200532392</v>
      </c>
    </row>
    <row r="19" spans="1:7" x14ac:dyDescent="0.25">
      <c r="A19">
        <v>1372110600</v>
      </c>
      <c r="B19" t="s">
        <v>27</v>
      </c>
      <c r="D19">
        <v>9.6038243123336287</v>
      </c>
      <c r="E19">
        <v>0.34485359361135759</v>
      </c>
      <c r="F19">
        <v>0</v>
      </c>
      <c r="G19">
        <v>0</v>
      </c>
    </row>
    <row r="20" spans="1:7" x14ac:dyDescent="0.25">
      <c r="A20">
        <v>1372120500</v>
      </c>
      <c r="B20" t="s">
        <v>26</v>
      </c>
      <c r="D20">
        <v>0.41219165927240464</v>
      </c>
      <c r="E20">
        <v>0.41219165927240464</v>
      </c>
      <c r="F20">
        <v>0.41219165927240464</v>
      </c>
      <c r="G20">
        <v>0.41219165927240464</v>
      </c>
    </row>
    <row r="21" spans="1:7" x14ac:dyDescent="0.25">
      <c r="A21">
        <v>1372350100</v>
      </c>
      <c r="B21" t="s">
        <v>28</v>
      </c>
      <c r="D21">
        <v>1.2373291925465839</v>
      </c>
      <c r="E21">
        <v>0.78895297249334517</v>
      </c>
      <c r="F21">
        <v>1.0948092280390416</v>
      </c>
      <c r="G21">
        <v>7.6858917480035496E-2</v>
      </c>
    </row>
    <row r="22" spans="1:7" x14ac:dyDescent="0.25">
      <c r="A22">
        <v>1394110100</v>
      </c>
      <c r="B22" t="s">
        <v>22</v>
      </c>
      <c r="D22">
        <v>231.37012422360249</v>
      </c>
      <c r="E22">
        <v>177.49843833185446</v>
      </c>
      <c r="F22">
        <v>30.650425909494231</v>
      </c>
      <c r="G22">
        <v>86.388322981366457</v>
      </c>
    </row>
    <row r="23" spans="1:7" x14ac:dyDescent="0.25">
      <c r="A23">
        <v>1431111200</v>
      </c>
      <c r="B23" t="s">
        <v>0</v>
      </c>
      <c r="D23">
        <v>140.17913930789709</v>
      </c>
      <c r="E23">
        <v>195.34102928127771</v>
      </c>
      <c r="F23">
        <v>65.744596273291933</v>
      </c>
      <c r="G23">
        <v>1.0652528837622004</v>
      </c>
    </row>
    <row r="24" spans="1:7" x14ac:dyDescent="0.25">
      <c r="A24">
        <v>1433110100</v>
      </c>
      <c r="B24" t="s">
        <v>1</v>
      </c>
      <c r="D24">
        <v>252.21303460514642</v>
      </c>
      <c r="E24">
        <v>899.42702750665489</v>
      </c>
      <c r="F24">
        <v>2683.0673203194324</v>
      </c>
      <c r="G24">
        <v>59.026654835847374</v>
      </c>
    </row>
    <row r="25" spans="1:7" x14ac:dyDescent="0.25">
      <c r="A25">
        <v>1433910900</v>
      </c>
      <c r="B25" t="s">
        <v>2</v>
      </c>
      <c r="D25">
        <v>-126.16891748003549</v>
      </c>
      <c r="E25">
        <v>-121.68896184560781</v>
      </c>
      <c r="F25">
        <v>-169.22364685004436</v>
      </c>
      <c r="G25">
        <v>0</v>
      </c>
    </row>
    <row r="26" spans="1:7" x14ac:dyDescent="0.25">
      <c r="A26">
        <v>1451120200</v>
      </c>
      <c r="B26" t="s">
        <v>3</v>
      </c>
      <c r="D26">
        <v>171074.77984915703</v>
      </c>
      <c r="E26">
        <v>171756.35263531498</v>
      </c>
      <c r="F26">
        <v>182955.55076308784</v>
      </c>
      <c r="G26">
        <v>51480.808535936114</v>
      </c>
    </row>
    <row r="27" spans="1:7" x14ac:dyDescent="0.25">
      <c r="A27">
        <v>1451220300</v>
      </c>
      <c r="B27" t="s">
        <v>5</v>
      </c>
      <c r="D27">
        <v>1128.4872404614021</v>
      </c>
      <c r="E27">
        <v>363.08905057675241</v>
      </c>
      <c r="F27">
        <v>758.79472049689446</v>
      </c>
      <c r="G27">
        <v>63.885412599822537</v>
      </c>
    </row>
    <row r="28" spans="1:7" x14ac:dyDescent="0.25">
      <c r="A28">
        <v>1459020100</v>
      </c>
      <c r="B28" t="s">
        <v>4</v>
      </c>
      <c r="D28">
        <v>1954.7779414374447</v>
      </c>
      <c r="E28">
        <v>833.98818101153506</v>
      </c>
      <c r="F28">
        <v>321.07295474711623</v>
      </c>
      <c r="G28">
        <v>0.27116237799467613</v>
      </c>
    </row>
    <row r="29" spans="1:7" x14ac:dyDescent="0.25">
      <c r="A29">
        <v>1463110100</v>
      </c>
      <c r="B29" t="s">
        <v>6</v>
      </c>
      <c r="D29">
        <v>9.0434338952972499</v>
      </c>
      <c r="E29">
        <v>9.4358030168589178</v>
      </c>
      <c r="F29">
        <v>9.5112688553682343</v>
      </c>
      <c r="G29">
        <v>0</v>
      </c>
    </row>
    <row r="30" spans="1:7" x14ac:dyDescent="0.25">
      <c r="A30">
        <v>1463920100</v>
      </c>
      <c r="B30" t="s">
        <v>7</v>
      </c>
      <c r="D30">
        <v>2512.4677817213842</v>
      </c>
      <c r="E30">
        <v>9952.5133984028398</v>
      </c>
      <c r="F30">
        <v>2463.5619787045252</v>
      </c>
      <c r="G30">
        <v>0</v>
      </c>
    </row>
    <row r="31" spans="1:7" x14ac:dyDescent="0.25">
      <c r="A31">
        <v>1499610100</v>
      </c>
      <c r="B31" t="s">
        <v>8</v>
      </c>
      <c r="D31">
        <v>5.0779325643300801</v>
      </c>
      <c r="E31">
        <v>5.9123336291038155</v>
      </c>
      <c r="F31">
        <v>5.5626796805678795</v>
      </c>
      <c r="G31">
        <v>1.755527950310559</v>
      </c>
    </row>
    <row r="32" spans="1:7" x14ac:dyDescent="0.25">
      <c r="A32">
        <v>1499910100</v>
      </c>
      <c r="B32" t="s">
        <v>9</v>
      </c>
      <c r="D32">
        <v>104.21086956521738</v>
      </c>
      <c r="E32">
        <v>122.37034605146407</v>
      </c>
      <c r="F32">
        <v>228.16210292812778</v>
      </c>
      <c r="G32">
        <v>8.8067701863354042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18</vt:i4>
      </vt:variant>
    </vt:vector>
  </HeadingPairs>
  <TitlesOfParts>
    <vt:vector size="27" baseType="lpstr">
      <vt:lpstr>Ações</vt:lpstr>
      <vt:lpstr>DRE - Trimestral</vt:lpstr>
      <vt:lpstr>DRE - Trimestral Acumulado</vt:lpstr>
      <vt:lpstr>BASE - Atual</vt:lpstr>
      <vt:lpstr>BASE - Anterior</vt:lpstr>
      <vt:lpstr>Classificação Contas - DRE</vt:lpstr>
      <vt:lpstr>Notas Explicativas</vt:lpstr>
      <vt:lpstr>Tabela Auxiliar</vt:lpstr>
      <vt:lpstr>Temp</vt:lpstr>
      <vt:lpstr>ANO</vt:lpstr>
      <vt:lpstr>ANO_ACUM</vt:lpstr>
      <vt:lpstr>'DRE - Trimestral'!Area_de_impressao</vt:lpstr>
      <vt:lpstr>'DRE - Trimestral Acumulado'!Area_de_impressao</vt:lpstr>
      <vt:lpstr>'Notas Explicativas'!Area_de_impressao</vt:lpstr>
      <vt:lpstr>COMPLEMENTO</vt:lpstr>
      <vt:lpstr>COMPLEMENTO_ACUM</vt:lpstr>
      <vt:lpstr>ESPACO</vt:lpstr>
      <vt:lpstr>ESPACO_ACUM</vt:lpstr>
      <vt:lpstr>lst_DescDRE</vt:lpstr>
      <vt:lpstr>lst_Mes</vt:lpstr>
      <vt:lpstr>lst_Trimestre</vt:lpstr>
      <vt:lpstr>PERIODO</vt:lpstr>
      <vt:lpstr>PERIODO_ACUM</vt:lpstr>
      <vt:lpstr>TRIMESTRE_1</vt:lpstr>
      <vt:lpstr>TRIMESTRE_2</vt:lpstr>
      <vt:lpstr>TRIMESTRE_3</vt:lpstr>
      <vt:lpstr>TRIMESTRE_4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Evert Leal Ramos;Allan Castro</dc:creator>
  <cp:lastModifiedBy>Evert Leal Ramos</cp:lastModifiedBy>
  <cp:lastPrinted>2016-04-12T13:02:33Z</cp:lastPrinted>
  <dcterms:created xsi:type="dcterms:W3CDTF">2016-04-08T13:34:08Z</dcterms:created>
  <dcterms:modified xsi:type="dcterms:W3CDTF">2016-04-12T13:26:03Z</dcterms:modified>
</cp:coreProperties>
</file>